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148206fb542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 BE" sheetId="1" r:id="R735dc5fe1db644e0"/>
    <x:sheet xmlns:r="http://schemas.openxmlformats.org/officeDocument/2006/relationships" name="Chức năng BE" sheetId="2" r:id="R2efc996489284221"/>
    <x:sheet xmlns:r="http://schemas.openxmlformats.org/officeDocument/2006/relationships" name="Backlog BE" sheetId="3" r:id="Rc9735ae016d24995"/>
    <x:sheet xmlns:r="http://schemas.openxmlformats.org/officeDocument/2006/relationships" name="Phân công BE" sheetId="4" r:id="R93c96ef69a154ac9"/>
    <x:sheet xmlns:r="http://schemas.openxmlformats.org/officeDocument/2006/relationships" name="Function Points BE" sheetId="5" r:id="R331901d288094c17"/>
    <x:sheet xmlns:r="http://schemas.openxmlformats.org/officeDocument/2006/relationships" name="Hướng dẫn" sheetId="6" r:id="R5981f64cd35d46ff"/>
  </x:sheets>
</x:workbook>
</file>

<file path=xl/sharedStrings.xml><?xml version="1.0" encoding="utf-8"?>
<x:sst xmlns:x="http://schemas.openxmlformats.org/spreadsheetml/2006/main">
  <x:si>
    <x:t xml:space="preserve">MeetUp Backend - Phân công chức năng</x:t>
  </x:si>
  <x:si>
    <x:t xml:space="preserve">Workbook chỉ dành cho Backend. Phần Mobile được tách khỏi ước lượng và phân công này.</x:t>
  </x:si>
  <x:si>
    <x:t xml:space="preserve">Chỉ số</x:t>
  </x:si>
  <x:si>
    <x:t xml:space="preserve">Giá trị</x:t>
  </x:si>
  <x:si>
    <x:t xml:space="preserve">Thành viên</x:t>
  </x:si>
  <x:si>
    <x:t xml:space="preserve">Phụ trách chính</x:t>
  </x:si>
  <x:si>
    <x:t xml:space="preserve">Điểm BE</x:t>
  </x:si>
  <x:si>
    <x:t xml:space="preserve">Tỷ lệ</x:t>
  </x:si>
  <x:si>
    <x:t xml:space="preserve">Mảng chính</x:t>
  </x:si>
  <x:si>
    <x:t xml:space="preserve">Tổng điểm chức năng BE</x:t>
  </x:si>
  <x:si>
    <x:t xml:space="preserve">Chức năng Core</x:t>
  </x:si>
  <x:si>
    <x:t xml:space="preserve">Chức năng Planned</x:t>
  </x:si>
  <x:si>
    <x:t xml:space="preserve">Điểm Core</x:t>
  </x:si>
  <x:si>
    <x:t xml:space="preserve">Điểm Planned</x:t>
  </x:si>
  <x:si>
    <x:t xml:space="preserve">Số thành viên BE</x:t>
  </x:si>
  <x:si>
    <x:t xml:space="preserve">Sprint</x:t>
  </x:si>
  <x:si>
    <x:t xml:space="preserve">Mục tiêu Backend</x:t>
  </x:si>
  <x:si>
    <x:t xml:space="preserve">Chức năng chính</x:t>
  </x:si>
  <x:si>
    <x:t xml:space="preserve">Kết quả cần có</x:t>
  </x:si>
  <x:si>
    <x:t xml:space="preserve">Chức năng Backend để chia việc</x:t>
  </x:si>
  <x:si>
    <x:t xml:space="preserve">Mã</x:t>
  </x:si>
  <x:si>
    <x:t xml:space="preserve">Chức năng Backend</x:t>
  </x:si>
  <x:si>
    <x:t xml:space="preserve">API / Event / Worker chính</x:t>
  </x:si>
  <x:si>
    <x:t xml:space="preserve">Phạm vi</x:t>
  </x:si>
  <x:si>
    <x:t xml:space="preserve">Phụ trách</x:t>
  </x:si>
  <x:si>
    <x:t xml:space="preserve">Phụ thuộc</x:t>
  </x:si>
  <x:si>
    <x:t xml:space="preserve">Tiêu chí hoàn thành</x:t>
  </x:si>
  <x:si>
    <x:t xml:space="preserve">Backlog Backend theo sprint</x:t>
  </x:si>
  <x:si>
    <x:t xml:space="preserve">Hạng mục Backend</x:t>
  </x:si>
  <x:si>
    <x:t xml:space="preserve">Điểm</x:t>
  </x:si>
  <x:si>
    <x:t xml:space="preserve">Trạng thái</x:t>
  </x:si>
  <x:si>
    <x:t xml:space="preserve">Ghi chú</x:t>
  </x:si>
  <x:si>
    <x:t xml:space="preserve">Phân công Backend</x:t>
  </x:si>
  <x:si>
    <x:t xml:space="preserve">Thay “Thành viên 1–4” bằng tên thật. Tổng điểm được lấy trực tiếp từ sheet Chức năng BE.</x:t>
  </x:si>
  <x:si>
    <x:t xml:space="preserve">Vai trò Backend</x:t>
  </x:si>
  <x:si>
    <x:t xml:space="preserve">Review bắt buộc</x:t>
  </x:si>
  <x:si>
    <x:t xml:space="preserve">Backend 1</x:t>
  </x:si>
  <x:si>
    <x:t xml:space="preserve">Tài khoản, privacy và nghiệp vụ meetup</x:t>
  </x:si>
  <x:si>
    <x:t xml:space="preserve">Auth, profile, friendship, privacy, meetup, preference, vote, chat, history, favorite, quản trị</x:t>
  </x:si>
  <x:si>
    <x:t xml:space="preserve">Backend 2</x:t>
  </x:si>
  <x:si>
    <x:t xml:space="preserve">Luồng nghiệp vụ, quyền và state meetup</x:t>
  </x:si>
  <x:si>
    <x:t xml:space="preserve">Nguyên tắc</x:t>
  </x:si>
  <x:si>
    <x:t xml:space="preserve">Áp dụng</x:t>
  </x:si>
  <x:si>
    <x:t xml:space="preserve">Mỗi Backend chịu code, test đơn vị, cập nhật API contract và demo chức năng của mình.</x:t>
  </x:si>
  <x:si>
    <x:t xml:space="preserve">Reviewer</x:t>
  </x:si>
  <x:si>
    <x:t xml:space="preserve">Người Backend còn lại review mọi PR. Các thay đổi giao thoa phải chốt DTO/event trước.</x:t>
  </x:si>
  <x:si>
    <x:t xml:space="preserve">Chức năng giao thoa</x:t>
  </x:si>
  <x:si>
    <x:t xml:space="preserve">Bảo mật</x:t>
  </x:si>
  <x:si>
    <x:t xml:space="preserve">Không ghi log tọa độ chính xác, token hoặc payload AI có dữ liệu nhạy cảm.</x:t>
  </x:si>
  <x:si>
    <x:t xml:space="preserve">Sở thích</x:t>
  </x:si>
  <x:si>
    <x:t xml:space="preserve">Profile chỉ prefill; ưu tiên MeetupMemberPreference trong engine.</x:t>
  </x:si>
  <x:si>
    <x:t xml:space="preserve">Tải lớn</x:t>
  </x:si>
  <x:si>
    <x:t xml:space="preserve">Function Points Backend</x:t>
  </x:si>
  <x:si>
    <x:t xml:space="preserve">Ước lượng chức năng phía Backend để chia việc, không phải số giờ công và không bao gồm UI Mobile.</x:t>
  </x:si>
  <x:si>
    <x:t xml:space="preserve">EI</x:t>
  </x:si>
  <x:si>
    <x:t xml:space="preserve">EO/EQ</x:t>
  </x:si>
  <x:si>
    <x:t xml:space="preserve">ILF/EIF</x:t>
  </x:si>
  <x:si>
    <x:t xml:space="preserve">Cách hiểu</x:t>
  </x:si>
  <x:si>
    <x:t xml:space="preserve">Bước</x:t>
  </x:si>
  <x:si>
    <x:t xml:space="preserve">Việc cần làm</x:t>
  </x:si>
  <x:si>
    <x:t xml:space="preserve">1</x:t>
  </x:si>
  <x:si>
    <x:t xml:space="preserve">Đổi tên Backend 1 và Backend 2 trong sheet Phân công BE và Chức năng BE.</x:t>
  </x:si>
  <x:si>
    <x:t xml:space="preserve">2</x:t>
  </x:si>
  <x:si>
    <x:t xml:space="preserve">Mỗi sprint, lọc sheet Backlog BE theo Sprint và Phụ trách.</x:t>
  </x:si>
  <x:si>
    <x:t xml:space="preserve">3</x:t>
  </x:si>
  <x:si>
    <x:t xml:space="preserve">Không nhận một dòng chức năng khi chưa rõ API/Event/Worker, dữ liệu và tiêu chí hoàn thành.</x:t>
  </x:si>
  <x:si>
    <x:t xml:space="preserve">4</x:t>
  </x:si>
  <x:si>
    <x:t xml:space="preserve">Core làm trước Planned. Chức năng Planned không được làm chậm realtime, privacy hoặc recommendation.</x:t>
  </x:si>
  <x:si>
    <x:t xml:space="preserve">5</x:t>
  </x:si>
  <x:si>
    <x:t xml:space="preserve">Với PR liên quan giữa hai mảng, mời người Backend còn lại review theo cột Reviewer.</x:t>
  </x:si>
  <x:si>
    <x:t xml:space="preserve">6</x:t>
  </x:si>
  <x:si>
    <x:t xml:space="preserve">Nếu phạm vi thay đổi, sửa Điểm BE tại sheet Chức năng BE; tổng và tỷ lệ tự cập nhật.</x:t>
  </x:si>
  <x:si>
    <x:t xml:space="preserve">7</x:t>
  </x:si>
  <x:si>
    <x:t xml:space="preserve">Chốt DTO/event trước khi làm song song: LocationUpdated, MeetupMemberChanged, PreferenceUpdated, RecommendationReady, VoteUpdated, MeetupFinalized.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</x:si>
</x:sst>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5">
    <x:font>
      <x:sz val="11"/>
      <x:color rgb="FF000000"/>
      <x:name val="Carlito"/>
      <x:scheme val="minor"/>
    </x:font>
    <x:font>
      <x:b/>
      <x:sz val="15"/>
      <x:color theme="1"/>
      <x:name val="Arial"/>
    </x:font>
    <x:font>
      <x:i/>
      <x:sz val="10"/>
      <x:color rgb="FF404040"/>
      <x:name val="Arial"/>
    </x:font>
    <x:font>
      <x:b/>
      <x:sz val="11"/>
      <x:color rgb="FFFFFFFF"/>
      <x:name val="Arial"/>
    </x:font>
    <x:font>
      <x:sz val="10"/>
      <x:color theme="1"/>
      <x:name val="Arial"/>
    </x:font>
    <x:font>
      <x:b/>
      <x:sz val="11"/>
      <x:color theme="1"/>
      <x:name val="Arial"/>
    </x:font>
    <x:font>
      <x:color theme="1"/>
      <x:name val="Carlito"/>
      <x:scheme val="minor"/>
    </x:font>
    <x:font>
      <x:b/>
      <x:sz val="10"/>
      <x:color rgb="FFFFFFFF"/>
      <x:name val="Arial"/>
    </x:font>
    <x:font>
      <x:sz val="11"/>
      <x:color theme="1"/>
      <x:name val="Arial"/>
    </x:font>
    <x:font>
      <x:sz val="10"/>
      <x:color rgb="FF000000"/>
      <x:name val="Arial"/>
    </x:font>
    <x:font>
      <x:sz val="10"/>
      <x:color rgb="FF000000"/>
      <x:name val="Arial"/>
      <x:scheme val="minor"/>
    </x:font>
    <x:font>
      <x:b/>
      <x:sz val="10"/>
      <x:color rgb="FF000000"/>
      <x:name val="Arial"/>
    </x:font>
    <x:font>
      <x:b/>
      <x:sz val="15"/>
      <x:color rgb="FF000000"/>
      <x:name val="Arial"/>
    </x:font>
    <x:font>
      <x:b/>
      <x:sz val="15"/>
      <x:color rgb="FF000000"/>
      <x:name val="Arial"/>
      <x:scheme val="minor"/>
    </x:font>
    <x:font>
      <x:i/>
      <x:sz val="10"/>
      <x:color rgb="FF404040"/>
      <x:name val="Arial"/>
      <x:scheme val="minor"/>
    </x:font>
  </x:fonts>
  <x:fills count="14">
    <x:fill>
      <x:patternFill patternType="none"/>
    </x:fill>
    <x:fill>
      <x:patternFill patternType="lightGray"/>
    </x:fill>
    <x:fill>
      <x:patternFill patternType="solid">
        <x:fgColor rgb="FF17365D"/>
      </x:patternFill>
    </x:fill>
    <x:fill>
      <x:patternFill patternType="solid">
        <x:fgColor rgb="FFF3F7FB"/>
      </x:patternFill>
    </x:fill>
    <x:fill>
      <x:patternFill patternType="solid">
        <x:fgColor rgb="FF00FF00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00FF00"/>
      </x:patternFill>
    </x:fill>
    <x:fill>
      <x:patternFill patternType="solid">
        <x:fgColor rgb="FFE7E6E6"/>
      </x:patternFill>
    </x:fill>
    <x:fill>
      <x:patternFill patternType="solid">
        <x:fgColor rgb="FFC6E0B4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</x:fills>
  <x:borders count="2">
    <x:border/>
    <x:border>
      <x:left/>
      <x:right/>
      <x:top/>
      <x:bottom/>
    </x:border>
  </x:borders>
  <x:cellStyleXfs count="1">
    <x:xf numFmtId="0" fontId="0" fillId="0" borderId="0" applyFont="1" applyAlignment="1"/>
  </x:cellStyleXfs>
  <x:cellXfs count="66">
    <x:xf numFmtId="0" fontId="0" fillId="0" borderId="0" xfId="0" applyFont="1" applyAlignment="1">
      <x:alignment vertical="bottom" wrapText="0" shrinkToFit="0"/>
    </x:xf>
    <x:xf numFmtId="0" fontId="1" fillId="0" borderId="0" xfId="0" applyFont="1"/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 shrinkToFit="0"/>
    </x:xf>
    <x:xf numFmtId="0" fontId="4" fillId="0" borderId="0" xfId="0" applyFont="1" applyAlignment="1">
      <x:alignment vertical="center" wrapText="1" shrinkToFit="0"/>
    </x:xf>
    <x:xf numFmtId="0" fontId="5" fillId="3" borderId="1" xfId="0" applyFont="1" applyFill="1" applyBorder="1"/>
    <x:xf numFmtId="0" fontId="4" fillId="4" borderId="0" xfId="0" applyFont="1" applyFill="1" applyAlignment="1">
      <x:alignment vertical="center" wrapText="1" shrinkToFit="0"/>
    </x:xf>
    <x:xf numFmtId="0" fontId="6" fillId="4" borderId="0" xfId="0" applyFont="1" applyFill="1"/>
    <x:xf numFmtId="0" fontId="5" fillId="5" borderId="1" xfId="0" applyFont="1" applyFill="1" applyBorder="1" applyAlignment="1">
      <x:alignment horizontal="center"/>
    </x:xf>
    <x:xf numFmtId="164" fontId="4" fillId="0" borderId="0" xfId="0" applyNumberFormat="1" applyFont="1" applyAlignment="1">
      <x:alignment vertical="center" wrapText="1" shrinkToFit="0"/>
    </x:xf>
    <x:xf numFmtId="0" fontId="6" fillId="0" borderId="0" xfId="0" applyFont="1"/>
    <x:xf numFmtId="0" fontId="3" fillId="6" borderId="1" xfId="0" applyFont="1" applyFill="1" applyBorder="1" applyAlignment="1">
      <x:alignment horizontal="center" vertical="center"/>
    </x:xf>
    <x:xf numFmtId="0" fontId="7" fillId="6" borderId="1" xfId="0" applyFont="1" applyFill="1" applyBorder="1" applyAlignment="1">
      <x:alignment horizontal="center" vertical="center" wrapText="1" shrinkToFit="0"/>
    </x:xf>
    <x:xf numFmtId="0" fontId="5" fillId="7" borderId="1" xfId="0" applyFont="1" applyFill="1" applyBorder="1" applyAlignment="1">
      <x:alignment vertical="top"/>
    </x:xf>
    <x:xf numFmtId="0" fontId="4" fillId="0" borderId="0" xfId="0" applyFont="1" applyAlignment="1">
      <x:alignment vertical="top" wrapText="1" shrinkToFit="0"/>
    </x:xf>
    <x:xf numFmtId="0" fontId="5" fillId="7" borderId="1" xfId="0" applyFont="1" applyFill="1" applyBorder="1"/>
    <x:xf numFmtId="0" fontId="5" fillId="8" borderId="1" xfId="0" applyFont="1" applyFill="1" applyBorder="1"/>
    <x:xf numFmtId="0" fontId="8" fillId="0" borderId="0" xfId="0" applyFont="1" applyAlignment="1">
      <x:alignment wrapText="1" shrinkToFit="0"/>
    </x:xf>
    <x:xf numFmtId="0" fontId="4" fillId="9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7" borderId="1" xfId="0" applyNumberFormat="1" applyFont="1" applyFill="1" applyBorder="1"/>
    <x:xf numFmtId="0" fontId="9" fillId="12" borderId="0" xfId="0" applyNumberFormat="1" applyFont="1" applyFill="1" applyBorder="1" applyAlignment="1">
      <x:alignment vertical="center" wrapText="1"/>
    </x:xf>
    <x:xf numFmtId="0" fontId="10" fillId="12" borderId="0" xfId="0" applyNumberFormat="1" applyFont="1" applyFill="1" applyBorder="1"/>
    <x:xf numFmtId="0" fontId="11" fillId="12" borderId="1" xfId="0" applyNumberFormat="1" applyFont="1" applyFill="1" applyBorder="1"/>
    <x:xf numFmtId="0" fontId="5" fillId="13" borderId="1" xfId="0" applyNumberFormat="1" applyFont="1" applyFill="1" applyBorder="1"/>
    <x:xf numFmtId="0" fontId="4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wrapText="1"/>
    </x:xf>
    <x:xf numFmtId="0" fontId="11" fillId="13" borderId="1" xfId="0" applyNumberFormat="1" applyFont="1" applyFill="1" applyBorder="1"/>
    <x:xf numFmtId="0" fontId="11" fillId="8" borderId="1" xfId="0" applyNumberFormat="1" applyFont="1" applyFill="1" applyBorder="1"/>
    <x:xf numFmtId="0" fontId="9" fillId="13" borderId="0" xfId="0" applyNumberFormat="1" applyFont="1" applyFill="1" applyBorder="1" applyAlignment="1">
      <x:alignment vertical="center" wrapText="1"/>
    </x:xf>
    <x:xf numFmtId="0" fontId="9" fillId="13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12" borderId="0" xfId="0" applyNumberFormat="1" applyFont="1" applyFill="1" applyBorder="1" applyAlignment="1">
      <x:alignment wrapText="1"/>
    </x:xf>
    <x:xf numFmtId="0" fontId="11" fillId="1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bottom" wrapText="1"/>
    </x:xf>
    <x:xf numFmtId="0" fontId="11" fillId="1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164" fontId="4" fillId="0" borderId="0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bottom" wrapText="1"/>
    </x:xf>
    <x:xf numFmtId="0" fontId="12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bottom" wrapText="1"/>
    </x:xf>
    <x:xf numFmtId="0" fontId="12" fillId="12" borderId="0" xfId="0" applyNumberFormat="1" applyFont="1" applyFill="1" applyBorder="1" applyAlignment="1">
      <x:alignment horizontal="left" wrapText="1"/>
    </x:xf>
    <x:xf numFmtId="0" fontId="13" fillId="12" borderId="0" xfId="0" applyNumberFormat="1" applyFont="1" applyFill="1" applyBorder="1" applyAlignment="1">
      <x:alignment horizontal="left" vertical="bottom" wrapText="1"/>
    </x:xf>
    <x:xf numFmtId="0" fontId="2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bottom" wrapText="1"/>
    </x:xf>
    <x:xf numFmtId="0" fontId="2" fillId="12" borderId="0" xfId="0" applyNumberFormat="1" applyFont="1" applyFill="1" applyBorder="1" applyAlignment="1">
      <x:alignment horizontal="left" wrapText="1"/>
    </x:xf>
    <x:xf numFmtId="0" fontId="14" fillId="12" borderId="0" xfId="0" applyNumberFormat="1" applyFont="1" applyFill="1" applyBorder="1" applyAlignment="1">
      <x:alignment horizontal="left" vertical="bottom" wrapText="1"/>
    </x:xf>
  </x:cellXfs>
  <x:cellStyles count="1">
    <x:cellStyle name="Normal" xfId="0"/>
  </x:cellStyles>
  <x:dxfs count="2">
    <x:dxf>
      <x:font>
        <x:b/>
        <x:color rgb="FF17365D"/>
      </x:font>
      <x:fill>
        <x:patternFill>
          <x:bgColor rgb="FFD9EAF7"/>
        </x:patternFill>
      </x:fill>
      <x:border/>
    </x:dxf>
    <x:dxf>
      <x:font>
        <x:b/>
        <x:color rgb="FF006100"/>
      </x:font>
      <x:fill>
        <x:patternFill>
          <x:bgColor rgb="FFE2F0D9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e90ad60254845" /><Relationship Type="http://schemas.openxmlformats.org/officeDocument/2006/relationships/theme" Target="/xl/theme/theme1.xml" Id="Rbb944dbe1a6d4da1" /><Relationship Type="http://schemas.openxmlformats.org/officeDocument/2006/relationships/sharedStrings" Target="/xl/sharedStrings.xml" Id="Rec8aac602f9942b0" /><Relationship Type="http://schemas.openxmlformats.org/officeDocument/2006/relationships/worksheet" Target="/xl/worksheets/sheet1.xml" Id="R735dc5fe1db644e0" /><Relationship Type="http://schemas.openxmlformats.org/officeDocument/2006/relationships/worksheet" Target="/xl/worksheets/sheet2.xml" Id="R2efc996489284221" /><Relationship Type="http://schemas.openxmlformats.org/officeDocument/2006/relationships/worksheet" Target="/xl/worksheets/sheet3.xml" Id="Rc9735ae016d24995" /><Relationship Type="http://schemas.openxmlformats.org/officeDocument/2006/relationships/worksheet" Target="/xl/worksheets/sheet4.xml" Id="R93c96ef69a154ac9" /><Relationship Type="http://schemas.openxmlformats.org/officeDocument/2006/relationships/worksheet" Target="/xl/worksheets/sheet5.xml" Id="R331901d288094c17" /><Relationship Type="http://schemas.openxmlformats.org/officeDocument/2006/relationships/worksheet" Target="/xl/worksheets/sheet6.xml" Id="R5981f64cd35d46f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25" customWidth="1"/>
    <x:col min="2" max="2" width="22" customWidth="1"/>
    <x:col min="3" max="3" width="18" customWidth="1"/>
    <x:col min="4" max="4" width="20" customWidth="1"/>
    <x:col min="5" max="5" width="24" customWidth="1"/>
    <x:col min="6" max="7" width="14" customWidth="1"/>
    <x:col min="8" max="8" width="37" customWidth="1"/>
    <x:col min="9" max="26" width="8.630000114440918" customWidth="1"/>
  </x:cols>
  <x:sheetData>
    <x:row r="1" ht="13.5" customHeight="1"/>
    <x:row r="2" ht="18" hidden="0" customHeight="1">
      <x:c r="A2" s="45" t="s">
        <x:v>0</x:v>
      </x:c>
      <x:c r="B2" s="41"/>
      <x:c r="C2" s="41"/>
      <x:c r="D2" s="41"/>
      <x:c r="E2" s="41"/>
      <x:c r="F2" s="41"/>
      <x:c r="G2" s="41"/>
      <x:c r="H2" s="41"/>
    </x:row>
    <x:row r="3" ht="15" hidden="0" customHeight="1">
      <x:c r="A3" s="46" t="s">
        <x:v>1</x:v>
      </x:c>
      <x:c r="B3" s="41"/>
      <x:c r="C3" s="41"/>
      <x:c r="D3" s="41"/>
      <x:c r="E3" s="41"/>
      <x:c r="F3" s="41"/>
      <x:c r="G3" s="41"/>
      <x:c r="H3" s="41"/>
    </x:row>
    <x:row r="4" ht="15" hidden="0" customHeight="1">
      <x:c r="A4" s="41"/>
      <x:c r="B4" s="41"/>
      <x:c r="C4" s="41"/>
      <x:c r="D4" s="41"/>
      <x:c r="E4" s="41"/>
      <x:c r="F4" s="41"/>
      <x:c r="G4" s="41"/>
      <x:c r="H4" s="41"/>
    </x:row>
    <x:row r="5" ht="15" hidden="0" customHeight="1">
      <x:c r="A5" s="22" t="s">
        <x:v>2</x:v>
      </x:c>
      <x:c r="B5" s="22" t="s">
        <x:v>3</x:v>
      </x:c>
      <x:c r="C5" s="41"/>
      <x:c r="D5" s="22" t="s">
        <x:v>4</x:v>
      </x:c>
      <x:c r="E5" s="22" t="s">
        <x:v>5</x:v>
      </x:c>
      <x:c r="F5" s="22" t="s">
        <x:v>6</x:v>
      </x:c>
      <x:c r="G5" s="22" t="s">
        <x:v>7</x:v>
      </x:c>
      <x:c r="H5" s="22" t="s">
        <x:v>8</x:v>
      </x:c>
    </x:row>
    <x:row r="6" ht="24" hidden="0" customHeight="1">
      <x:c r="A6" s="52" t="s">
        <x:v>9</x:v>
      </x:c>
      <x:c r="B6" s="53" t="n">
        <x:f>SUM('Chức năng BE'!E6:E32)</x:f>
        <x:v>227</x:v>
      </x:c>
      <x:c r="C6" s="41"/>
      <x:c r="D6" s="23" t="str">
        <x:f>'Phân công BE'!A6</x:f>
        <x:v>Backend 1</x:v>
      </x:c>
      <x:c r="E6" s="23" t="str">
        <x:f>'Phân công BE'!B6</x:f>
        <x:v>Tài khoản, privacy và nghiệp vụ meetup</x:v>
      </x:c>
      <x:c r="F6" s="23" t="n">
        <x:f>'Phân công BE'!C6</x:f>
        <x:v>72</x:v>
      </x:c>
      <x:c r="G6" s="47" t="n">
        <x:f>'Phân công BE'!D6</x:f>
        <x:v>0.31718061674008813</x:v>
      </x:c>
      <x:c r="H6" s="23" t="str">
        <x:f>'Phân công BE'!E6</x:f>
        <x:v>Auth, profile, friendship, privacy, meetup, preference, vote, chat, history, favorite, quản trị</x:v>
      </x:c>
    </x:row>
    <x:row r="7" ht="36" hidden="0" customHeight="1">
      <x:c r="A7" s="52" t="s">
        <x:v>10</x:v>
      </x:c>
      <x:c r="B7" s="53" t="n">
        <x:f>COUNTIF('Chức năng BE'!D6:D32,"Core")</x:f>
        <x:v>17</x:v>
      </x:c>
      <x:c r="C7" s="41"/>
      <x:c r="D7" s="23" t="str">
        <x:f>'Phân công BE'!A7</x:f>
        <x:v>Backend 2</x:v>
      </x:c>
      <x:c r="E7" s="23" t="str">
        <x:v>Realtime, recommendation system và tích hợp ngoài</x:v>
      </x:c>
      <x:c r="F7" s="23" t="n">
        <x:f>'Phân công BE'!C7</x:f>
        <x:v>155</x:v>
      </x:c>
      <x:c r="G7" s="47" t="n">
        <x:f>'Phân công BE'!D7</x:f>
        <x:v>0.6828193832599119</x:v>
      </x:c>
      <x:c r="H7" s="23" t="str">
        <x:v>Vị trí, Socket, FCM, Places, Routes, utility, fairness, feedback, offline evaluation, LTR, AI, nearby, observability</x:v>
      </x:c>
    </x:row>
    <x:row r="8" ht="15" hidden="0" customHeight="1">
      <x:c r="A8" s="52" t="s">
        <x:v>11</x:v>
      </x:c>
      <x:c r="B8" s="53" t="n">
        <x:f>COUNTIF('Chức năng BE'!D6:D32,"Planned")</x:f>
        <x:v>10</x:v>
      </x:c>
      <x:c r="C8" s="41"/>
      <x:c r="D8" s="23"/>
      <x:c r="E8" s="23"/>
      <x:c r="F8" s="23"/>
      <x:c r="G8" s="47"/>
      <x:c r="H8" s="23"/>
    </x:row>
    <x:row r="9" ht="15" hidden="0" customHeight="1">
      <x:c r="A9" s="52" t="s">
        <x:v>12</x:v>
      </x:c>
      <x:c r="B9" s="53" t="n">
        <x:f>SUMIF('Chức năng BE'!D6:D32,"Core",'Chức năng BE'!E6:E32)</x:f>
        <x:v>152</x:v>
      </x:c>
      <x:c r="C9" s="41"/>
      <x:c r="D9" s="23"/>
      <x:c r="E9" s="23"/>
      <x:c r="F9" s="23"/>
      <x:c r="G9" s="47"/>
      <x:c r="H9" s="23"/>
    </x:row>
    <x:row r="10" ht="15" hidden="0" customHeight="1">
      <x:c r="A10" s="52" t="s">
        <x:v>13</x:v>
      </x:c>
      <x:c r="B10" s="53" t="n">
        <x:f>SUMIF('Chức năng BE'!D6:D32,"Planned",'Chức năng BE'!E6:E32)</x:f>
        <x:v>75</x:v>
      </x:c>
      <x:c r="C10" s="41"/>
      <x:c r="D10" s="41"/>
      <x:c r="E10" s="41"/>
      <x:c r="F10" s="41"/>
      <x:c r="G10" s="41"/>
      <x:c r="H10" s="41"/>
    </x:row>
    <x:row r="11" ht="15" hidden="0" customHeight="1">
      <x:c r="A11" s="52" t="s">
        <x:v>14</x:v>
      </x:c>
      <x:c r="B11" s="53" t="n">
        <x:f>COUNTA('Phân công BE'!A6:A7)</x:f>
        <x:v>2</x:v>
      </x:c>
      <x:c r="C11" s="41"/>
      <x:c r="D11" s="41"/>
      <x:c r="E11" s="41"/>
      <x:c r="F11" s="41"/>
      <x:c r="G11" s="41"/>
      <x:c r="H11" s="41"/>
    </x:row>
    <x:row r="12" ht="15" hidden="0" customHeight="1">
      <x:c r="A12" s="41"/>
      <x:c r="B12" s="41"/>
      <x:c r="C12" s="41"/>
      <x:c r="D12" s="41"/>
      <x:c r="E12" s="41"/>
      <x:c r="F12" s="41"/>
      <x:c r="G12" s="41"/>
      <x:c r="H12" s="41"/>
    </x:row>
    <x:row r="13" ht="15" hidden="0" customHeight="1">
      <x:c r="A13" s="41"/>
      <x:c r="B13" s="41"/>
      <x:c r="C13" s="41"/>
      <x:c r="D13" s="41"/>
      <x:c r="E13" s="41"/>
      <x:c r="F13" s="41"/>
      <x:c r="G13" s="41"/>
      <x:c r="H13" s="41"/>
    </x:row>
    <x:row r="14" ht="15" hidden="0" customHeight="1">
      <x:c r="A14" s="22" t="s">
        <x:v>15</x:v>
      </x:c>
      <x:c r="B14" s="22" t="s">
        <x:v>16</x:v>
      </x:c>
      <x:c r="C14" s="22" t="s">
        <x:v>17</x:v>
      </x:c>
      <x:c r="D14" s="22" t="s">
        <x:v>18</x:v>
      </x:c>
      <x:c r="E14" s="41"/>
      <x:c r="F14" s="41"/>
      <x:c r="G14" s="41"/>
      <x:c r="H14" s="41"/>
    </x:row>
    <x:row r="15" ht="24" hidden="0" customHeight="1">
      <x:c r="A15" s="23" t="str">
        <x:v>S1</x:v>
      </x:c>
      <x:c r="B15" s="23" t="str">
        <x:v>Tài khoản và quan hệ</x:v>
      </x:c>
      <x:c r="C15" s="23" t="str">
        <x:v>BE-01 đến BE-03</x:v>
      </x:c>
      <x:c r="D15" s="23" t="str">
        <x:v>API có xác thực, test quyền cơ bản</x:v>
      </x:c>
      <x:c r="E15" s="41"/>
      <x:c r="F15" s="41"/>
      <x:c r="G15" s="41"/>
      <x:c r="H15" s="41"/>
    </x:row>
    <x:row r="16" ht="36" hidden="0" customHeight="1">
      <x:c r="A16" s="23" t="str">
        <x:v>S2</x:v>
      </x:c>
      <x:c r="B16" s="23" t="str">
        <x:v>Privacy và nền tảng realtime</x:v>
      </x:c>
      <x:c r="C16" s="23" t="str">
        <x:v>BE-04 đến BE-07</x:v>
      </x:c>
      <x:c r="D16" s="23" t="str">
        <x:v>Socket/Redis đúng quyền, TTL và FCM platform hoạt động</x:v>
      </x:c>
      <x:c r="E16" s="41"/>
      <x:c r="F16" s="41"/>
      <x:c r="G16" s="41"/>
      <x:c r="H16" s="41"/>
    </x:row>
    <x:row r="17" ht="48" hidden="0" customHeight="1">
      <x:c r="A17" s="23" t="str">
        <x:v>S3</x:v>
      </x:c>
      <x:c r="B17" s="23" t="str">
        <x:v>Meetup, preference và candidate-only</x:v>
      </x:c>
      <x:c r="C17" s="23" t="str">
        <x:v>BE-08, BE-09, BE-13</x:v>
      </x:c>
      <x:c r="D17" s="23" t="str">
        <x:v>Lifecycle và Places candidate đã có; recommendationMode chưa làm</x:v>
      </x:c>
      <x:c r="E17" s="41"/>
      <x:c r="F17" s="41"/>
      <x:c r="G17" s="41"/>
      <x:c r="H17" s="41"/>
    </x:row>
    <x:row r="18" ht="48" hidden="0" customHeight="1">
      <x:c r="A18" s="23" t="str">
        <x:v>S4</x:v>
      </x:c>
      <x:c r="B18" s="23" t="str">
        <x:v>Online recommendation baseline</x:v>
      </x:c>
      <x:c r="C18" s="23" t="str">
        <x:v>BE-14 đến BE-17, BE-22, BE-23</x:v>
      </x:c>
      <x:c r="D18" s="23" t="str">
        <x:v>Run/context, filter, Routes, utility, fairness, explanation và persistence</x:v>
      </x:c>
      <x:c r="E18" s="41"/>
      <x:c r="F18" s="41"/>
      <x:c r="G18" s="41"/>
      <x:c r="H18" s="41"/>
    </x:row>
    <x:row r="19" ht="48" hidden="0" customHeight="1">
      <x:c r="A19" s="23" t="str">
        <x:v>S5</x:v>
      </x:c>
      <x:c r="B19" s="23" t="str">
        <x:v>Vote, feedback và vận hành</x:v>
      </x:c>
      <x:c r="C19" s="23" t="str">
        <x:v>BE-10 đến BE-12, BE-20, BE-21, BE-24</x:v>
      </x:c>
      <x:c r="D19" s="23" t="str">
        <x:v>Vote sau recommendation; impression/feedback có runId; replay và metric</x:v>
      </x:c>
      <x:c r="E19" s="41"/>
      <x:c r="F19" s="41"/>
      <x:c r="G19" s="41"/>
      <x:c r="H19" s="41"/>
    </x:row>
    <x:row r="20" ht="48" hidden="0" customHeight="1">
      <x:c r="A20" s="23" t="str">
        <x:v>S6–S7+</x:v>
      </x:c>
      <x:c r="B20" s="23" t="str">
        <x:v>Offline, LTR và chức năng mở rộng</x:v>
      </x:c>
      <x:c r="C20" s="23" t="str">
        <x:v>BE-18, BE-19, BE-25 đến BE-27</x:v>
      </x:c>
      <x:c r="D20" s="23" t="str">
        <x:v>Offline evaluation trước; LTR shadow trước production; AI không đổi ranking</x:v>
      </x:c>
      <x:c r="E20" s="41"/>
      <x:c r="F20" s="41"/>
      <x:c r="G20" s="41"/>
      <x:c r="H20" s="41"/>
    </x:row>
    <x:row r="21" ht="15" hidden="0" customHeight="1">
      <x:c r="A21" s="41"/>
      <x:c r="B21" s="41"/>
      <x:c r="C21" s="41"/>
      <x:c r="D21" s="41"/>
      <x:c r="E21" s="41"/>
      <x:c r="F21" s="41"/>
      <x:c r="G21" s="41"/>
      <x:c r="H21" s="41"/>
    </x:row>
    <x:row r="22" ht="15" hidden="0" customHeight="1">
      <x:c r="A22" s="41"/>
      <x:c r="B22" s="41"/>
      <x:c r="C22" s="41"/>
      <x:c r="D22" s="41"/>
      <x:c r="E22" s="41"/>
      <x:c r="F22" s="41"/>
      <x:c r="G22" s="41"/>
      <x:c r="H22" s="41"/>
    </x:row>
    <x:row r="23" ht="15" hidden="0" customHeight="1">
      <x:c r="A23" s="54" t="str">
        <x:v>Nguyên tắc</x:v>
      </x:c>
      <x:c r="B23" s="23" t="str">
        <x:v>Áp dụng</x:v>
      </x:c>
      <x:c r="C23" s="41"/>
      <x:c r="D23" s="41"/>
      <x:c r="E23" s="41"/>
      <x:c r="F23" s="41"/>
      <x:c r="G23" s="41"/>
      <x:c r="H23" s="41"/>
    </x:row>
    <x:row r="24" ht="15" hidden="0" customHeight="1">
      <x:c r="A24" s="54" t="str">
        <x:v>recommendationMode</x:v>
      </x:c>
      <x:c r="B24" s="23" t="str">
        <x:v>Không thuộc phần BE-08 đã hoàn thành; contract và persistence được triển khai ở BE-14 bởi Backend 2.</x:v>
      </x:c>
      <x:c r="C24" s="41"/>
      <x:c r="D24" s="41"/>
      <x:c r="E24" s="41"/>
      <x:c r="F24" s="41"/>
      <x:c r="G24" s="41"/>
      <x:c r="H24" s="41"/>
    </x:row>
    <x:row r="25" ht="15" hidden="0" customHeight="1">
      <x:c r="A25" s="54" t="str">
        <x:v>Filter candidate</x:v>
      </x:c>
      <x:c r="B25" s="23" t="str">
        <x:v>Một active place provider mỗi run; đẩy filter tương thích vào Places rồi áp residual hard constraint trong engine.</x:v>
      </x:c>
      <x:c r="C25" s="41"/>
      <x:c r="D25" s="41"/>
      <x:c r="E25" s="41"/>
      <x:c r="F25" s="41"/>
      <x:c r="G25" s="41"/>
      <x:c r="H25" s="41"/>
    </x:row>
    <x:row r="26" ht="15" hidden="0" customHeight="1">
      <x:c r="A26" s="54" t="str">
        <x:v>Vote sau recommendation</x:v>
      </x:c>
      <x:c r="B26" s="23" t="str">
        <x:v>Vote chỉ dùng trên kết quả đã hiển thị; không dùng vote để thay ranking của cùng run.</x:v>
      </x:c>
      <x:c r="C26" s="41"/>
      <x:c r="D26" s="41"/>
      <x:c r="E26" s="41"/>
      <x:c r="F26" s="41"/>
      <x:c r="G26" s="41"/>
      <x:c r="H26" s="41"/>
    </x:row>
    <x:row r="27" ht="15" hidden="0" customHeight="1">
      <x:c r="A27" s="54" t="str">
        <x:v>Utility và route</x:v>
      </x:c>
      <x:c r="B27" s="23" t="str">
        <x:v>TWO_WHEELER là mặc định; avoid là soft penalty; không có Budget filter, priceLevel hoặc PricePenalty.</x:v>
      </x:c>
      <x:c r="C27" s="41"/>
      <x:c r="D27" s="41"/>
      <x:c r="E27" s="41"/>
      <x:c r="F27" s="41"/>
      <x:c r="G27" s="41"/>
      <x:c r="H27" s="41"/>
    </x:row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2:H2"/>
    <x:mergeCell ref="A3:H3"/>
    <x:mergeCell ref="B23:H23"/>
    <x:mergeCell ref="B24:H24"/>
    <x:mergeCell ref="B25:H25"/>
    <x:mergeCell ref="B26:H26"/>
    <x:mergeCell ref="B27:H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ColWidth="12.630000114440918" defaultRowHeight="15"/>
  <x:cols>
    <x:col min="1" max="1" width="10" customWidth="1"/>
    <x:col min="2" max="2" width="28" customWidth="1"/>
    <x:col min="3" max="3" width="42" customWidth="1"/>
    <x:col min="4" max="4" width="12" customWidth="1"/>
    <x:col min="5" max="5" width="11" customWidth="1"/>
    <x:col min="6" max="6" width="17" customWidth="1"/>
    <x:col min="7" max="7" width="10" customWidth="1"/>
    <x:col min="8" max="8" width="18" customWidth="1"/>
    <x:col min="9" max="9" width="45" customWidth="1"/>
    <x:col min="10" max="26" width="8.630000114440918" customWidth="1"/>
    <x:col min="10" max="10" width="18" hidden="0" customWidth="1"/>
  </x:cols>
  <x:sheetData>
    <x:row r="1" ht="13.5" customHeight="1"/>
    <x:row r="2" ht="13.5" customHeight="1">
      <x:c r="A2" s="1" t="s">
        <x:v>19</x:v>
      </x:c>
    </x:row>
    <x:row r="3" ht="13.5" customHeight="1">
      <x:c r="A3" s="2" t="str">
        <x:v>Mỗi dòng là một đơn vị giao việc. Màu xanh và cột Trạng thái phản ánh tiến độ; BE-08 không còn bao gồm recommendationMode.</x:v>
      </x:c>
    </x:row>
    <x:row r="4" ht="13.5" customHeight="1"/>
    <x:row r="5" ht="13.5" customHeight="1">
      <x:c r="A5" s="22" t="s">
        <x:v>20</x:v>
      </x:c>
      <x:c r="B5" s="22" t="s">
        <x:v>21</x:v>
      </x:c>
      <x:c r="C5" s="22" t="s">
        <x:v>22</x:v>
      </x:c>
      <x:c r="D5" s="22" t="s">
        <x:v>23</x:v>
      </x:c>
      <x:c r="E5" s="22" t="s">
        <x:v>6</x:v>
      </x:c>
      <x:c r="F5" s="22" t="s">
        <x:v>24</x:v>
      </x:c>
      <x:c r="G5" s="22" t="s">
        <x:v>15</x:v>
      </x:c>
      <x:c r="H5" s="22" t="s">
        <x:v>25</x:v>
      </x:c>
      <x:c r="I5" s="22" t="s">
        <x:v>26</x:v>
      </x:c>
      <x:c r="J5" s="22" t="str">
        <x:v>Trạng thái</x:v>
      </x:c>
    </x:row>
    <x:row r="6" ht="24" hidden="0" customHeight="1">
      <x:c r="A6" s="18" t="str">
        <x:v>BE-01</x:v>
      </x:c>
      <x:c r="B6" s="18" t="str">
        <x:v>Xác thực và phiên đăng nhập</x:v>
      </x:c>
      <x:c r="C6" s="18" t="str">
        <x:v>Đăng ký, đăng nhập, đăng xuất, làm mới token, Google OAuth</x:v>
      </x:c>
      <x:c r="D6" s="18" t="str">
        <x:v>Core</x:v>
      </x:c>
      <x:c r="E6" s="18" t="n">
        <x:v>8</x:v>
      </x:c>
      <x:c r="F6" s="18" t="str">
        <x:v>Backend 1</x:v>
      </x:c>
      <x:c r="G6" s="18" t="str">
        <x:v>S1</x:v>
      </x:c>
      <x:c r="H6" s="18" t="str">
        <x:v>-</x:v>
      </x:c>
      <x:c r="I6" s="18" t="str">
        <x:v>JWT/refresh token hợp lệ; tài khoản bị khóa không đăng nhập được</x:v>
      </x:c>
      <x:c r="J6" s="20" t="str">
        <x:v>Đã thực hiện</x:v>
      </x:c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 ht="24" hidden="0" customHeight="1">
      <x:c r="A7" s="18" t="str">
        <x:v>BE-02</x:v>
      </x:c>
      <x:c r="B7" s="18" t="str">
        <x:v>Hồ sơ và sở thích profile</x:v>
      </x:c>
      <x:c r="C7" s="18" t="str">
        <x:v>Cập nhật profile; lưu UserPreference làm dữ liệu điền sẵn</x:v>
      </x:c>
      <x:c r="D7" s="18" t="str">
        <x:v>Core</x:v>
      </x:c>
      <x:c r="E7" s="18" t="n">
        <x:v>5</x:v>
      </x:c>
      <x:c r="F7" s="18" t="str">
        <x:v>Backend 1</x:v>
      </x:c>
      <x:c r="G7" s="18" t="str">
        <x:v>S1</x:v>
      </x:c>
      <x:c r="H7" s="18" t="str">
        <x:v>BE-01</x:v>
      </x:c>
      <x:c r="I7" s="18" t="str">
        <x:v>Profile không thay thế preference tạm thời của meetup</x:v>
      </x:c>
      <x:c r="J7" s="20" t="str">
        <x:v>Đã thực hiện</x:v>
      </x:c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 ht="15" hidden="0" customHeight="1">
      <x:c r="A8" s="18" t="str">
        <x:v>BE-03</x:v>
      </x:c>
      <x:c r="B8" s="18" t="str">
        <x:v>Kết bạn</x:v>
      </x:c>
      <x:c r="C8" s="18" t="str">
        <x:v>Tìm kiếm, gửi, chấp nhận, từ chối lời mời bạn bè</x:v>
      </x:c>
      <x:c r="D8" s="18" t="str">
        <x:v>Core</x:v>
      </x:c>
      <x:c r="E8" s="18" t="n">
        <x:v>8</x:v>
      </x:c>
      <x:c r="F8" s="18" t="str">
        <x:v>Backend 1</x:v>
      </x:c>
      <x:c r="G8" s="18" t="str">
        <x:v>S1</x:v>
      </x:c>
      <x:c r="H8" s="18" t="str">
        <x:v>BE-01</x:v>
      </x:c>
      <x:c r="I8" s="18" t="str">
        <x:v>Không tạo lời mời trùng hoặc tự kết bạn</x:v>
      </x:c>
      <x:c r="J8" s="20" t="str">
        <x:v>Đã thực hiện</x:v>
      </x:c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 ht="24" hidden="0" customHeight="1">
      <x:c r="A9" s="18" t="str">
        <x:v>BE-04</x:v>
      </x:c>
      <x:c r="B9" s="18" t="str">
        <x:v>Quyền riêng tư vị trí</x:v>
      </x:c>
      <x:c r="C9" s="18" t="str">
        <x:v>Thiết lập chế độ chia sẻ, thời hạn, vị trí gần đúng; kiểm tra quyền</x:v>
      </x:c>
      <x:c r="D9" s="18" t="str">
        <x:v>Core</x:v>
      </x:c>
      <x:c r="E9" s="18" t="n">
        <x:v>5</x:v>
      </x:c>
      <x:c r="F9" s="18" t="str">
        <x:v>Backend 1</x:v>
      </x:c>
      <x:c r="G9" s="18" t="str">
        <x:v>S2</x:v>
      </x:c>
      <x:c r="H9" s="18" t="str">
        <x:v>BE-01</x:v>
      </x:c>
      <x:c r="I9" s="18" t="str">
        <x:v>Backend kiểm tra quyền trong mọi yêu cầu vị trí</x:v>
      </x:c>
      <x:c r="J9" s="20" t="str">
        <x:v>Đã thực hiện</x:v>
      </x:c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 ht="24" hidden="0" customHeight="1">
      <x:c r="A10" s="18" t="str">
        <x:v>BE-05</x:v>
      </x:c>
      <x:c r="B10" s="18" t="str">
        <x:v>Nhận và lưu vị trí realtime</x:v>
      </x:c>
      <x:c r="C10" s="18" t="str">
        <x:v>Nhận location:update, kiểm quyền, cập nhật latest location/Redis TTL, phát LocationUpdated</x:v>
      </x:c>
      <x:c r="D10" s="18" t="str">
        <x:v>Core</x:v>
      </x:c>
      <x:c r="E10" s="18" t="n">
        <x:v>13</x:v>
      </x:c>
      <x:c r="F10" s="18" t="str">
        <x:v>Backend 2</x:v>
      </x:c>
      <x:c r="G10" s="18" t="str">
        <x:v>S2</x:v>
      </x:c>
      <x:c r="H10" s="18" t="str">
        <x:v>BE-04</x:v>
      </x:c>
      <x:c r="I10" s="18" t="str">
        <x:v>Không phát vị trí trái quyền; TTL 5 phút</x:v>
      </x:c>
      <x:c r="J10" s="20" t="str">
        <x:v>Đã thực hiện</x:v>
      </x:c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 ht="24" hidden="0" customHeight="1">
      <x:c r="A11" s="18" t="str">
        <x:v>BE-06</x:v>
      </x:c>
      <x:c r="B11" s="18" t="str">
        <x:v>Nền tảng Socket và presence</x:v>
      </x:c>
      <x:c r="C11" s="18" t="str">
        <x:v>Kết nối/xác thực Socket, room, presence và phát domain event</x:v>
      </x:c>
      <x:c r="D11" s="18" t="str">
        <x:v>Core</x:v>
      </x:c>
      <x:c r="E11" s="18" t="n">
        <x:v>8</x:v>
      </x:c>
      <x:c r="F11" s="18" t="str">
        <x:v>Backend 2</x:v>
      </x:c>
      <x:c r="G11" s="18" t="str">
        <x:v>S2</x:v>
      </x:c>
      <x:c r="H11" s="18" t="str">
        <x:v>BE-01</x:v>
      </x:c>
      <x:c r="I11" s="18" t="str">
        <x:v>Chỉ kết nối hợp lệ; module nghiệp vụ dùng chung kênh event</x:v>
      </x:c>
      <x:c r="J11" s="20" t="str">
        <x:v>Đã thực hiện</x:v>
      </x:c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 ht="24" hidden="0" customHeight="1">
      <x:c r="A12" s="18" t="str">
        <x:v>BE-07</x:v>
      </x:c>
      <x:c r="B12" s="18" t="str">
        <x:v>Thiết bị và nền tảng FCM</x:v>
      </x:c>
      <x:c r="C12" s="18" t="str">
        <x:v>Lưu FCM token, hàm gửi chung, worker gửi và log kết quả</x:v>
      </x:c>
      <x:c r="D12" s="18" t="str">
        <x:v>Core</x:v>
      </x:c>
      <x:c r="E12" s="18" t="n">
        <x:v>5</x:v>
      </x:c>
      <x:c r="F12" s="18" t="str">
        <x:v>Backend 2</x:v>
      </x:c>
      <x:c r="G12" s="18" t="str">
        <x:v>S2</x:v>
      </x:c>
      <x:c r="H12" s="18" t="str">
        <x:v>BE-01</x:v>
      </x:c>
      <x:c r="I12" s="18" t="str">
        <x:v>Hàm gửi độc lập với nghiệp vụ; token được quản lý an toàn</x:v>
      </x:c>
      <x:c r="J12" s="20" t="str">
        <x:v>Đã thực hiện</x:v>
      </x:c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 ht="24" hidden="0" customHeight="1">
      <x:c r="A13" s="18" t="str">
        <x:v>BE-08</x:v>
      </x:c>
      <x:c r="B13" s="18" t="str">
        <x:v>Vòng đời Meetup và thành viên</x:v>
      </x:c>
      <x:c r="C13" s="18" t="str">
        <x:v>Tạo, sửa, hủy, mời, accept/reject, leave/remove và chuyển trạng thái meetup</x:v>
      </x:c>
      <x:c r="D13" s="18" t="str">
        <x:v>Core</x:v>
      </x:c>
      <x:c r="E13" s="18" t="n">
        <x:v>13</x:v>
      </x:c>
      <x:c r="F13" s="18" t="str">
        <x:v>Backend 1</x:v>
      </x:c>
      <x:c r="G13" s="18" t="str">
        <x:v>S3</x:v>
      </x:c>
      <x:c r="H13" s="18" t="str">
        <x:v>BE-03</x:v>
      </x:c>
      <x:c r="I13" s="18" t="str">
        <x:v>Lifecycle đã hoàn thành; recommendationMode chưa làm và được chuyển sang BE-14</x:v>
      </x:c>
      <x:c r="J13" s="20" t="str">
        <x:v>Đã thực hiện</x:v>
      </x:c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 ht="24" hidden="0" customHeight="1">
      <x:c r="A14" s="18" t="str">
        <x:v>BE-09</x:v>
      </x:c>
      <x:c r="B14" s="18" t="str">
        <x:v>Sở thích tạm thời meetup</x:v>
      </x:c>
      <x:c r="C14" s="18" t="str">
        <x:v>Lưu MeetupMemberPreference: high, normal, avoid, profile_fallback</x:v>
      </x:c>
      <x:c r="D14" s="18" t="str">
        <x:v>Core</x:v>
      </x:c>
      <x:c r="E14" s="18" t="n">
        <x:v>8</x:v>
      </x:c>
      <x:c r="F14" s="18" t="str">
        <x:v>Backend 1</x:v>
      </x:c>
      <x:c r="G14" s="18" t="str">
        <x:v>S3</x:v>
      </x:c>
      <x:c r="H14" s="18" t="str">
        <x:v>BE-02, BE-08</x:v>
      </x:c>
      <x:c r="I14" s="18" t="str">
        <x:v>Preference meetup ưu tiên profile; avoid là soft penalty, không phải hard filter</x:v>
      </x:c>
      <x:c r="J14" s="20" t="str">
        <x:v>Đã thực hiện</x:v>
      </x:c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 ht="24" hidden="0" customHeight="1">
      <x:c r="A15" s="18" t="str">
        <x:v>BE-13</x:v>
      </x:c>
      <x:c r="B15" s="18" t="str">
        <x:v>Lấy địa điểm ứng viên (candidate-only)</x:v>
      </x:c>
      <x:c r="C15" s="18" t="str">
        <x:v>GET place-candidates; gọi Google Places Text Search và chuẩn hóa candidate</x:v>
      </x:c>
      <x:c r="D15" s="18" t="str">
        <x:v>Core</x:v>
      </x:c>
      <x:c r="E15" s="18" t="n">
        <x:v>8</x:v>
      </x:c>
      <x:c r="F15" s="18" t="str">
        <x:v>Backend 2</x:v>
      </x:c>
      <x:c r="G15" s="18" t="str">
        <x:v>S3</x:v>
      </x:c>
      <x:c r="H15" s="18" t="str">
        <x:v>BE-08</x:v>
      </x:c>
      <x:c r="I15" s="18" t="str">
        <x:v>Đã trả candidate; chưa có route, utility, ranking hoặc RecommendationRun</x:v>
      </x:c>
      <x:c r="J15" s="20" t="str">
        <x:v>Đã thực hiện</x:v>
      </x:c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 ht="36" hidden="0" customHeight="1">
      <x:c r="A16" s="23" t="str">
        <x:v>BE-14</x:v>
      </x:c>
      <x:c r="B16" s="23" t="str">
        <x:v>Khởi tạo recommendation run và context</x:v>
      </x:c>
      <x:c r="C16" s="23" t="str">
        <x:v>POST/GET recommendation-runs; validate, idempotency, ContextBuilder; lưu recommendationMode/ranking strategy</x:v>
      </x:c>
      <x:c r="D16" s="23" t="str">
        <x:v>Core</x:v>
      </x:c>
      <x:c r="E16" s="23" t="n">
        <x:v>8</x:v>
      </x:c>
      <x:c r="F16" s="23" t="str">
        <x:v>Backend 2</x:v>
      </x:c>
      <x:c r="G16" s="23" t="str">
        <x:v>S4</x:v>
      </x:c>
      <x:c r="H16" s="23" t="str">
        <x:v>BE-05, BE-08, BE-09, BE-13</x:v>
      </x:c>
      <x:c r="I16" s="23" t="str">
        <x:v>Chuyển recommendationMode khỏi BE-08; chỉ actor có quyền đổi; dưới 2 member hợp lệ trả lỗi có mã</x:v>
      </x:c>
      <x:c r="J16" s="21" t="str">
        <x:v>Chưa thực hiện</x:v>
      </x:c>
    </x:row>
    <x:row r="17" ht="24" hidden="0" customHeight="1">
      <x:c r="A17" s="23" t="str">
        <x:v>BE-15</x:v>
      </x:c>
      <x:c r="B17" s="23" t="str">
        <x:v>Candidate pipeline và constraint</x:v>
      </x:c>
      <x:c r="C17" s="23" t="str">
        <x:v>Category mapping; multi-query/pagination; CandidateMerger; provider-side và residual hard filter</x:v>
      </x:c>
      <x:c r="D17" s="23" t="str">
        <x:v>Core</x:v>
      </x:c>
      <x:c r="E17" s="23" t="n">
        <x:v>8</x:v>
      </x:c>
      <x:c r="F17" s="23" t="str">
        <x:v>Backend 2</x:v>
      </x:c>
      <x:c r="G17" s="23" t="str">
        <x:v>S4</x:v>
      </x:c>
      <x:c r="H17" s="23" t="str">
        <x:v>BE-13, BE-14</x:v>
      </x:c>
      <x:c r="I17" s="23" t="str">
        <x:v>OR theo category; dedup; hậu kiểm radius; openNow đúng request time; avoid không bị loại</x:v>
      </x:c>
      <x:c r="J17" s="21" t="str">
        <x:v>Chưa thực hiện</x:v>
      </x:c>
    </x:row>
    <x:row r="18" ht="24" hidden="0" customHeight="1">
      <x:c r="A18" s="23" t="str">
        <x:v>BE-16</x:v>
      </x:c>
      <x:c r="B18" s="23" t="str">
        <x:v>Route Matrix và route validation</x:v>
      </x:c>
      <x:c r="C18" s="23" t="str">
        <x:v>RouteBatchPlanner hai chiều; Google ComputeRouteMatrix; TWO_WHEELER; effectiveK</x:v>
      </x:c>
      <x:c r="D18" s="23" t="str">
        <x:v>Core</x:v>
      </x:c>
      <x:c r="E18" s="23" t="n">
        <x:v>13</x:v>
      </x:c>
      <x:c r="F18" s="23" t="str">
        <x:v>Backend 2</x:v>
      </x:c>
      <x:c r="G18" s="23" t="str">
        <x:v>S4</x:v>
      </x:c>
      <x:c r="H18" s="23" t="str">
        <x:v>BE-05, BE-15</x:v>
      </x:c>
      <x:c r="I18" s="23" t="str">
        <x:v>Tuân element limit; ghép bằng index mapping; loại candidate thiếu route; không tạo ETA giả</x:v>
      </x:c>
      <x:c r="J18" s="21" t="str">
        <x:v>Chưa thực hiện</x:v>
      </x:c>
    </x:row>
    <x:row r="19" ht="24" hidden="0" customHeight="1">
      <x:c r="A19" s="23" t="str">
        <x:v>BE-17</x:v>
      </x:c>
      <x:c r="B19" s="23" t="str">
        <x:v>Feature và member utility</x:v>
      </x:c>
      <x:c r="C19" s="23" t="str">
        <x:v>FeatureBuilder; tính T, P, Q và U theo config/version cho từng member-candidate</x:v>
      </x:c>
      <x:c r="D19" s="23" t="str">
        <x:v>Core</x:v>
      </x:c>
      <x:c r="E19" s="23" t="n">
        <x:v>8</x:v>
      </x:c>
      <x:c r="F19" s="23" t="str">
        <x:v>Backend 2</x:v>
      </x:c>
      <x:c r="G19" s="23" t="str">
        <x:v>S4</x:v>
      </x:c>
      <x:c r="H19" s="23" t="str">
        <x:v>BE-09, BE-16</x:v>
      </x:c>
      <x:c r="I19" s="23" t="str">
        <x:v>Utility hữu hạn trong [0,1]; avoid là soft penalty; cùng snapshot/config cho cùng kết quả</x:v>
      </x:c>
      <x:c r="J19" s="21" t="str">
        <x:v>Chưa thực hiện</x:v>
      </x:c>
    </x:row>
    <x:row r="20" ht="24" hidden="0" customHeight="1">
      <x:c r="A20" s="23" t="str">
        <x:v>BE-22</x:v>
      </x:c>
      <x:c r="B20" s="23" t="str">
        <x:v>Group ranking và fairness</x:v>
      </x:c>
      <x:c r="C20" s="23" t="str">
        <x:v>GroupRanker: min-sum, min-max, fair-pareto-v1; tie-break deterministic</x:v>
      </x:c>
      <x:c r="D20" s="23" t="str">
        <x:v>Core</x:v>
      </x:c>
      <x:c r="E20" s="23" t="n">
        <x:v>13</x:v>
      </x:c>
      <x:c r="F20" s="23" t="str">
        <x:v>Backend 2</x:v>
      </x:c>
      <x:c r="G20" s="23" t="str">
        <x:v>S4</x:v>
      </x:c>
      <x:c r="H20" s="23" t="str">
        <x:v>BE-17</x:v>
      </x:c>
      <x:c r="I20" s="23" t="str">
        <x:v>Tạo full ranking; fair-pareto lưu seed/version; unit test bằng utility matrix tính tay</x:v>
      </x:c>
      <x:c r="J20" s="21" t="str">
        <x:v>Chưa thực hiện</x:v>
      </x:c>
    </x:row>
    <x:row r="21" ht="24" hidden="0" customHeight="1">
      <x:c r="A21" s="23" t="str">
        <x:v>BE-23</x:v>
      </x:c>
      <x:c r="B21" s="23" t="str">
        <x:v>Explanation, persistence và API kết quả</x:v>
      </x:c>
      <x:c r="C21" s="23" t="str">
        <x:v>ExplanationBuilder; persist run/snapshot/full ranking; RecommendationReady; trả top-K</x:v>
      </x:c>
      <x:c r="D21" s="23" t="str">
        <x:v>Core</x:v>
      </x:c>
      <x:c r="E21" s="23" t="n">
        <x:v>13</x:v>
      </x:c>
      <x:c r="F21" s="23" t="str">
        <x:v>Backend 2</x:v>
      </x:c>
      <x:c r="G21" s="23" t="str">
        <x:v>S4</x:v>
      </x:c>
      <x:c r="H21" s="23" t="str">
        <x:v>BE-14, BE-22</x:v>
      </x:c>
      <x:c r="I21" s="23" t="str">
        <x:v>Persist và COMPLETED cùng transaction; explanation từ feature thật; retry cùng requestId trả kết quả cũ</x:v>
      </x:c>
      <x:c r="J21" s="21" t="str">
        <x:v>Chưa thực hiện</x:v>
      </x:c>
    </x:row>
    <x:row r="22" ht="24" hidden="0" customHeight="1">
      <x:c r="A22" s="23" t="str">
        <x:v>BE-10</x:v>
      </x:c>
      <x:c r="B22" s="23" t="str">
        <x:v>Vote và chốt địa điểm sau recommendation</x:v>
      </x:c>
      <x:c r="C22" s="23" t="str">
        <x:v>Một vote/người; đổi vote; hết hạn; chốt; phát VoteUpdated với runId</x:v>
      </x:c>
      <x:c r="D22" s="23" t="str">
        <x:v>Core</x:v>
      </x:c>
      <x:c r="E22" s="23" t="n">
        <x:v>8</x:v>
      </x:c>
      <x:c r="F22" s="23" t="str">
        <x:v>Backend 1</x:v>
      </x:c>
      <x:c r="G22" s="23" t="str">
        <x:v>S5</x:v>
      </x:c>
      <x:c r="H22" s="23" t="str">
        <x:v>BE-06, BE-08, BE-23</x:v>
      </x:c>
      <x:c r="I22" s="23" t="str">
        <x:v>Chỉ vote candidate thuộc run đã hiển thị; vote không thay ranking của cùng run</x:v>
      </x:c>
      <x:c r="J22" s="21" t="str">
        <x:v>Chưa thực hiện</x:v>
      </x:c>
    </x:row>
    <x:row r="23" ht="24" hidden="0" customHeight="1">
      <x:c r="A23" s="23" t="str">
        <x:v>BE-24</x:v>
      </x:c>
      <x:c r="B23" s="23" t="str">
        <x:v>Impression và feedback linkage</x:v>
      </x:c>
      <x:c r="C23" s="23" t="str">
        <x:v>Ghi RecommendationShown; liên kết vote, selection, navigation, favorite theo runId/eventId</x:v>
      </x:c>
      <x:c r="D23" s="23" t="str">
        <x:v>Planned</x:v>
      </x:c>
      <x:c r="E23" s="23" t="n">
        <x:v>8</x:v>
      </x:c>
      <x:c r="F23" s="23" t="str">
        <x:v>Backend 2</x:v>
      </x:c>
      <x:c r="G23" s="23" t="str">
        <x:v>S5</x:v>
      </x:c>
      <x:c r="H23" s="23" t="str">
        <x:v>BE-10, BE-20, BE-23</x:v>
      </x:c>
      <x:c r="I23" s="23" t="str">
        <x:v>Event idempotent; not-shown là unknown; lỗi feedback không chạy lại recommendation</x:v>
      </x:c>
      <x:c r="J23" s="21" t="str">
        <x:v>Chưa thực hiện</x:v>
      </x:c>
    </x:row>
    <x:row r="24" ht="15" hidden="0" customHeight="1">
      <x:c r="A24" s="23" t="str">
        <x:v>BE-11</x:v>
      </x:c>
      <x:c r="B24" s="23" t="str">
        <x:v>Chat trong meetup</x:v>
      </x:c>
      <x:c r="C24" s="23" t="str">
        <x:v>Gửi/đọc tin nhắn; phân quyền theo thành viên meetup</x:v>
      </x:c>
      <x:c r="D24" s="23" t="str">
        <x:v>Planned</x:v>
      </x:c>
      <x:c r="E24" s="23" t="n">
        <x:v>8</x:v>
      </x:c>
      <x:c r="F24" s="23" t="str">
        <x:v>Backend 1</x:v>
      </x:c>
      <x:c r="G24" s="23" t="str">
        <x:v>S5</x:v>
      </x:c>
      <x:c r="H24" s="23" t="str">
        <x:v>BE-06, BE-08</x:v>
      </x:c>
      <x:c r="I24" s="23" t="str">
        <x:v>Người ngoài meetup bị từ chối truy cập</x:v>
      </x:c>
      <x:c r="J24" s="21" t="str">
        <x:v>Chưa thực hiện</x:v>
      </x:c>
    </x:row>
    <x:row r="25" ht="15" hidden="0" customHeight="1">
      <x:c r="A25" s="23" t="str">
        <x:v>BE-12</x:v>
      </x:c>
      <x:c r="B25" s="23" t="str">
        <x:v>Lịch sử meetup</x:v>
      </x:c>
      <x:c r="C25" s="23" t="str">
        <x:v>Lưu meetup đã kết thúc và dữ liệu hiển thị lịch sử</x:v>
      </x:c>
      <x:c r="D25" s="23" t="str">
        <x:v>Planned</x:v>
      </x:c>
      <x:c r="E25" s="23" t="n">
        <x:v>3</x:v>
      </x:c>
      <x:c r="F25" s="23" t="str">
        <x:v>Backend 1</x:v>
      </x:c>
      <x:c r="G25" s="23" t="str">
        <x:v>S5</x:v>
      </x:c>
      <x:c r="H25" s="23" t="str">
        <x:v>BE-08, BE-10</x:v>
      </x:c>
      <x:c r="I25" s="23" t="str">
        <x:v>Không lưu lịch sử GPS hoặc tuyến đường</x:v>
      </x:c>
      <x:c r="J25" s="21" t="str">
        <x:v>Chưa thực hiện</x:v>
      </x:c>
    </x:row>
    <x:row r="26" ht="24" hidden="0" customHeight="1">
      <x:c r="A26" s="23" t="str">
        <x:v>BE-20</x:v>
      </x:c>
      <x:c r="B26" s="23" t="str">
        <x:v>Địa điểm yêu thích</x:v>
      </x:c>
      <x:c r="C26" s="23" t="str">
        <x:v>Thêm/xóa FavoritePlace theo canonical candidate/Place ID; chống trùng</x:v>
      </x:c>
      <x:c r="D26" s="23" t="str">
        <x:v>Planned</x:v>
      </x:c>
      <x:c r="E26" s="23" t="n">
        <x:v>2</x:v>
      </x:c>
      <x:c r="F26" s="23" t="str">
        <x:v>Backend 1</x:v>
      </x:c>
      <x:c r="G26" s="23" t="str">
        <x:v>S5</x:v>
      </x:c>
      <x:c r="H26" s="23" t="str">
        <x:v>BE-08, BE-13</x:v>
      </x:c>
      <x:c r="I26" s="23" t="str">
        <x:v>Không lưu tuyến đường; xử lý Place ID không hợp lệ</x:v>
      </x:c>
      <x:c r="J26" s="21" t="str">
        <x:v>Chưa thực hiện</x:v>
      </x:c>
    </x:row>
    <x:row r="27" ht="24" hidden="0" customHeight="1">
      <x:c r="A27" s="23" t="str">
        <x:v>BE-21</x:v>
      </x:c>
      <x:c r="B27" s="23" t="str">
        <x:v>Observability và replay recommendation</x:v>
      </x:c>
      <x:c r="C27" s="23" t="str">
        <x:v>Metric latency/error/cost/coverage; redacted log; replay một run từ snapshot</x:v>
      </x:c>
      <x:c r="D27" s="23" t="str">
        <x:v>Planned</x:v>
      </x:c>
      <x:c r="E27" s="23" t="n">
        <x:v>8</x:v>
      </x:c>
      <x:c r="F27" s="23" t="str">
        <x:v>Backend 2</x:v>
      </x:c>
      <x:c r="G27" s="23" t="str">
        <x:v>S5</x:v>
      </x:c>
      <x:c r="H27" s="23" t="str">
        <x:v>BE-14 đến BE-17, BE-22 đến BE-24</x:v>
      </x:c>
      <x:c r="I27" s="23" t="str">
        <x:v>Theo dõi stage/provider; replay không gọi provider; log không chứa tọa độ hoặc token</x:v>
      </x:c>
      <x:c r="J27" s="21" t="str">
        <x:v>Chưa thực hiện</x:v>
      </x:c>
    </x:row>
    <x:row r="28" ht="24" hidden="0" customHeight="1">
      <x:c r="A28" s="23" t="str">
        <x:v>BE-25</x:v>
      </x:c>
      <x:c r="B28" s="23" t="str">
        <x:v>Offline dataset và evaluation</x:v>
      </x:c>
      <x:c r="C28" s="23" t="str">
        <x:v>DatasetBuilder; time split; replay strategy; metric utility, fairness, NDCG và hệ thống</x:v>
      </x:c>
      <x:c r="D28" s="23" t="str">
        <x:v>Planned</x:v>
      </x:c>
      <x:c r="E28" s="23" t="n">
        <x:v>13</x:v>
      </x:c>
      <x:c r="F28" s="23" t="str">
        <x:v>Backend 2</x:v>
      </x:c>
      <x:c r="G28" s="23" t="str">
        <x:v>S6</x:v>
      </x:c>
      <x:c r="H28" s="23" t="str">
        <x:v>BE-21, BE-23, BE-24</x:v>
      </x:c>
      <x:c r="I28" s="23" t="str">
        <x:v>Không leakage; NDCG chỉ trên impressed set; báo metric theo group size/category</x:v>
      </x:c>
      <x:c r="J28" s="21" t="str">
        <x:v>Chưa thực hiện</x:v>
      </x:c>
    </x:row>
    <x:row r="29" ht="24" hidden="0" customHeight="1">
      <x:c r="A29" s="23" t="str">
        <x:v>BE-27</x:v>
      </x:c>
      <x:c r="B29" s="23" t="str">
        <x:v>AI explanation mở rộng (tùy chọn)</x:v>
      </x:c>
      <x:c r="C29" s="23" t="str">
        <x:v>ExplanationGeneratorPort; redaction; schema validation; fallback về explanation deterministic</x:v>
      </x:c>
      <x:c r="D29" s="23" t="str">
        <x:v>Planned</x:v>
      </x:c>
      <x:c r="E29" s="23" t="n">
        <x:v>8</x:v>
      </x:c>
      <x:c r="F29" s="23" t="str">
        <x:v>Backend 2</x:v>
      </x:c>
      <x:c r="G29" s="23" t="str">
        <x:v>S6</x:v>
      </x:c>
      <x:c r="H29" s="23" t="str">
        <x:v>BE-23</x:v>
      </x:c>
      <x:c r="I29" s="23" t="str">
        <x:v>AI không đổi thứ hạng; không gửi tọa độ/tên thật; lỗi provider dùng fallback</x:v>
      </x:c>
      <x:c r="J29" s="21" t="str">
        <x:v>Chưa thực hiện</x:v>
      </x:c>
    </x:row>
    <x:row r="30" ht="15" hidden="0" customHeight="1">
      <x:c r="A30" s="23" t="str">
        <x:v>BE-18</x:v>
      </x:c>
      <x:c r="B30" s="23" t="str">
        <x:v>Phát hiện bạn ở gần</x:v>
      </x:c>
      <x:c r="C30" s="23" t="str">
        <x:v>Kiểm tra opt-in, khoảng cách gần đúng, giới hạn 2 giờ</x:v>
      </x:c>
      <x:c r="D30" s="23" t="str">
        <x:v>Planned</x:v>
      </x:c>
      <x:c r="E30" s="23" t="n">
        <x:v>8</x:v>
      </x:c>
      <x:c r="F30" s="23" t="str">
        <x:v>Backend 2</x:v>
      </x:c>
      <x:c r="G30" s="23" t="str">
        <x:v>S6</x:v>
      </x:c>
      <x:c r="H30" s="23" t="str">
        <x:v>BE-04, BE-05, BE-07</x:v>
      </x:c>
      <x:c r="I30" s="23" t="str">
        <x:v>Cả hai phải bật; notification không có tọa độ</x:v>
      </x:c>
      <x:c r="J30" s="21" t="str">
        <x:v>Chưa thực hiện</x:v>
      </x:c>
    </x:row>
    <x:row r="31" ht="15" hidden="0" customHeight="1">
      <x:c r="A31" s="23" t="str">
        <x:v>BE-19</x:v>
      </x:c>
      <x:c r="B31" s="23" t="str">
        <x:v>Quản trị tài khoản</x:v>
      </x:c>
      <x:c r="C31" s="23" t="str">
        <x:v>Khóa/mở khóa tài khoản, audit log thao tác quản trị</x:v>
      </x:c>
      <x:c r="D31" s="23" t="str">
        <x:v>Planned</x:v>
      </x:c>
      <x:c r="E31" s="23" t="n">
        <x:v>4</x:v>
      </x:c>
      <x:c r="F31" s="23" t="str">
        <x:v>Backend 1</x:v>
      </x:c>
      <x:c r="G31" s="23" t="str">
        <x:v>S7</x:v>
      </x:c>
      <x:c r="H31" s="23" t="str">
        <x:v>BE-01</x:v>
      </x:c>
      <x:c r="I31" s="23" t="str">
        <x:v>Có audit log; không chứa tọa độ chính xác</x:v>
      </x:c>
      <x:c r="J31" s="21" t="str">
        <x:v>Chưa thực hiện</x:v>
      </x:c>
    </x:row>
    <x:row r="32" ht="24" hidden="0" customHeight="1">
      <x:c r="A32" s="23" t="str">
        <x:v>BE-26</x:v>
      </x:c>
      <x:c r="B32" s="23" t="str">
        <x:v>Learning-to-rank và model lifecycle</x:v>
      </x:c>
      <x:c r="C32" s="23" t="str">
        <x:v>LTRTrainer; ModelRegistry; ShadowRunner; offline gate và A/B theo meetup</x:v>
      </x:c>
      <x:c r="D32" s="23" t="str">
        <x:v>Planned</x:v>
      </x:c>
      <x:c r="E32" s="23" t="n">
        <x:v>13</x:v>
      </x:c>
      <x:c r="F32" s="23" t="str">
        <x:v>Backend 2</x:v>
      </x:c>
      <x:c r="G32" s="23" t="str">
        <x:v>S7+</x:v>
      </x:c>
      <x:c r="H32" s="23" t="str">
        <x:v>BE-21, BE-24, BE-25</x:v>
      </x:c>
      <x:c r="I32" s="23" t="str">
        <x:v>Chỉ shadow khi chưa chốt fairness contract; production có version/guardrail; fair-pareto là fallback</x:v>
      </x:c>
      <x:c r="J32" s="21" t="str">
        <x:v>Chưa thực hiện</x:v>
      </x:c>
    </x:row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2:I2"/>
    <x:mergeCell ref="A3:I3"/>
  </x:mergeCells>
  <x:conditionalFormatting sqref="D6:D24">
    <x:cfRule type="expression" dxfId="0" priority="1">
      <x:formula>D6="Core"</x:formula>
    </x:cfRule>
  </x:conditionalFormatting>
  <x:conditionalFormatting sqref="D6:D24">
    <x:cfRule type="expression" dxfId="1" priority="2">
      <x:formula>D6="Planned"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ColWidth="12.630000114440918" defaultRowHeight="15"/>
  <x:cols>
    <x:col min="1" max="1" width="10" customWidth="1"/>
    <x:col min="2" max="2" width="30" customWidth="1"/>
    <x:col min="3" max="3" width="12" customWidth="1"/>
    <x:col min="4" max="5" width="11" customWidth="1"/>
    <x:col min="6" max="6" width="17" customWidth="1"/>
    <x:col min="7" max="7" width="14" customWidth="1"/>
    <x:col min="8" max="8" width="18" customWidth="1"/>
    <x:col min="9" max="9" width="45" customWidth="1"/>
    <x:col min="10" max="26" width="8.630000114440918" customWidth="1"/>
  </x:cols>
  <x:sheetData>
    <x:row r="1" ht="13.5" customHeight="1"/>
    <x:row r="2" ht="13.5" customHeight="1">
      <x:c r="A2" s="1" t="s">
        <x:v>27</x:v>
      </x:c>
    </x:row>
    <x:row r="3" ht="13.5" customHeight="1">
      <x:c r="A3" s="2" t="str">
        <x:v>Trạng thái hiện tại: BE-01 đến BE-09 và BE-13 đã thực hiện. recommendationMode được tách khỏi BE-08 và đưa sang BE-14.</x:v>
      </x:c>
    </x:row>
    <x:row r="4" ht="13.5" customHeight="1"/>
    <x:row r="5" ht="13.5" customHeight="1">
      <x:c r="A5" s="22" t="s">
        <x:v>20</x:v>
      </x:c>
      <x:c r="B5" s="22" t="s">
        <x:v>28</x:v>
      </x:c>
      <x:c r="C5" s="22" t="s">
        <x:v>23</x:v>
      </x:c>
      <x:c r="D5" s="22" t="s">
        <x:v>29</x:v>
      </x:c>
      <x:c r="E5" s="22" t="s">
        <x:v>15</x:v>
      </x:c>
      <x:c r="F5" s="22" t="s">
        <x:v>24</x:v>
      </x:c>
      <x:c r="G5" s="22" t="s">
        <x:v>30</x:v>
      </x:c>
      <x:c r="H5" s="22" t="s">
        <x:v>25</x:v>
      </x:c>
      <x:c r="I5" s="22" t="s">
        <x:v>31</x:v>
      </x:c>
    </x:row>
    <x:row r="6" ht="24" hidden="0" customHeight="1">
      <x:c r="A6" s="23" t="str">
        <x:v>BE-01</x:v>
      </x:c>
      <x:c r="B6" s="23" t="str">
        <x:v>Xác thực và phiên đăng nhập</x:v>
      </x:c>
      <x:c r="C6" s="23" t="str">
        <x:v>Core</x:v>
      </x:c>
      <x:c r="D6" s="23" t="n">
        <x:v>8</x:v>
      </x:c>
      <x:c r="E6" s="23" t="str">
        <x:v>S1</x:v>
      </x:c>
      <x:c r="F6" s="23" t="str">
        <x:v>Backend 1</x:v>
      </x:c>
      <x:c r="G6" s="24" t="str">
        <x:v>Đã thực hiện</x:v>
      </x:c>
      <x:c r="H6" s="23" t="str">
        <x:v>-</x:v>
      </x:c>
      <x:c r="I6" s="23" t="str">
        <x:v>JWT/refresh token hợp lệ; tài khoản bị khóa không đăng nhập được</x:v>
      </x:c>
    </x:row>
    <x:row r="7" ht="15" hidden="0" customHeight="1">
      <x:c r="A7" s="23" t="str">
        <x:v>BE-02</x:v>
      </x:c>
      <x:c r="B7" s="23" t="str">
        <x:v>Hồ sơ và sở thích profile</x:v>
      </x:c>
      <x:c r="C7" s="23" t="str">
        <x:v>Core</x:v>
      </x:c>
      <x:c r="D7" s="23" t="n">
        <x:v>5</x:v>
      </x:c>
      <x:c r="E7" s="23" t="str">
        <x:v>S1</x:v>
      </x:c>
      <x:c r="F7" s="23" t="str">
        <x:v>Backend 1</x:v>
      </x:c>
      <x:c r="G7" s="24" t="str">
        <x:v>Đã thực hiện</x:v>
      </x:c>
      <x:c r="H7" s="23" t="str">
        <x:v>BE-01</x:v>
      </x:c>
      <x:c r="I7" s="23" t="str">
        <x:v>Profile không thay thế preference tạm thời của meetup</x:v>
      </x:c>
    </x:row>
    <x:row r="8" ht="15" hidden="0" customHeight="1">
      <x:c r="A8" s="23" t="str">
        <x:v>BE-03</x:v>
      </x:c>
      <x:c r="B8" s="23" t="str">
        <x:v>Kết bạn</x:v>
      </x:c>
      <x:c r="C8" s="23" t="str">
        <x:v>Core</x:v>
      </x:c>
      <x:c r="D8" s="23" t="n">
        <x:v>8</x:v>
      </x:c>
      <x:c r="E8" s="23" t="str">
        <x:v>S1</x:v>
      </x:c>
      <x:c r="F8" s="23" t="str">
        <x:v>Backend 1</x:v>
      </x:c>
      <x:c r="G8" s="24" t="str">
        <x:v>Đã thực hiện</x:v>
      </x:c>
      <x:c r="H8" s="23" t="str">
        <x:v>BE-01</x:v>
      </x:c>
      <x:c r="I8" s="23" t="str">
        <x:v>Không tạo lời mời trùng hoặc tự kết bạn</x:v>
      </x:c>
    </x:row>
    <x:row r="9" ht="15" hidden="0" customHeight="1">
      <x:c r="A9" s="23" t="str">
        <x:v>BE-04</x:v>
      </x:c>
      <x:c r="B9" s="23" t="str">
        <x:v>Quyền riêng tư vị trí</x:v>
      </x:c>
      <x:c r="C9" s="23" t="str">
        <x:v>Core</x:v>
      </x:c>
      <x:c r="D9" s="23" t="n">
        <x:v>5</x:v>
      </x:c>
      <x:c r="E9" s="23" t="str">
        <x:v>S2</x:v>
      </x:c>
      <x:c r="F9" s="23" t="str">
        <x:v>Backend 1</x:v>
      </x:c>
      <x:c r="G9" s="24" t="str">
        <x:v>Đã thực hiện</x:v>
      </x:c>
      <x:c r="H9" s="23" t="str">
        <x:v>BE-01</x:v>
      </x:c>
      <x:c r="I9" s="23" t="str">
        <x:v>Backend kiểm tra quyền trong mọi yêu cầu vị trí</x:v>
      </x:c>
    </x:row>
    <x:row r="10" ht="15" hidden="0" customHeight="1">
      <x:c r="A10" s="23" t="str">
        <x:v>BE-05</x:v>
      </x:c>
      <x:c r="B10" s="23" t="str">
        <x:v>Nhận và lưu vị trí realtime</x:v>
      </x:c>
      <x:c r="C10" s="23" t="str">
        <x:v>Core</x:v>
      </x:c>
      <x:c r="D10" s="23" t="n">
        <x:v>13</x:v>
      </x:c>
      <x:c r="E10" s="23" t="str">
        <x:v>S2</x:v>
      </x:c>
      <x:c r="F10" s="23" t="str">
        <x:v>Backend 2</x:v>
      </x:c>
      <x:c r="G10" s="24" t="str">
        <x:v>Đã thực hiện</x:v>
      </x:c>
      <x:c r="H10" s="23" t="str">
        <x:v>BE-04</x:v>
      </x:c>
      <x:c r="I10" s="23" t="str">
        <x:v>Không phát vị trí trái quyền; TTL 5 phút</x:v>
      </x:c>
    </x:row>
    <x:row r="11" ht="24" hidden="0" customHeight="1">
      <x:c r="A11" s="23" t="str">
        <x:v>BE-06</x:v>
      </x:c>
      <x:c r="B11" s="23" t="str">
        <x:v>Nền tảng Socket và presence</x:v>
      </x:c>
      <x:c r="C11" s="23" t="str">
        <x:v>Core</x:v>
      </x:c>
      <x:c r="D11" s="23" t="n">
        <x:v>8</x:v>
      </x:c>
      <x:c r="E11" s="23" t="str">
        <x:v>S2</x:v>
      </x:c>
      <x:c r="F11" s="23" t="str">
        <x:v>Backend 2</x:v>
      </x:c>
      <x:c r="G11" s="24" t="str">
        <x:v>Đã thực hiện</x:v>
      </x:c>
      <x:c r="H11" s="23" t="str">
        <x:v>BE-01</x:v>
      </x:c>
      <x:c r="I11" s="23" t="str">
        <x:v>Chỉ kết nối hợp lệ; module nghiệp vụ dùng chung kênh event</x:v>
      </x:c>
    </x:row>
    <x:row r="12" ht="15" hidden="0" customHeight="1">
      <x:c r="A12" s="23" t="str">
        <x:v>BE-07</x:v>
      </x:c>
      <x:c r="B12" s="23" t="str">
        <x:v>Thiết bị và nền tảng FCM</x:v>
      </x:c>
      <x:c r="C12" s="23" t="str">
        <x:v>Core</x:v>
      </x:c>
      <x:c r="D12" s="23" t="n">
        <x:v>5</x:v>
      </x:c>
      <x:c r="E12" s="23" t="str">
        <x:v>S2</x:v>
      </x:c>
      <x:c r="F12" s="23" t="str">
        <x:v>Backend 2</x:v>
      </x:c>
      <x:c r="G12" s="24" t="str">
        <x:v>Đã thực hiện</x:v>
      </x:c>
      <x:c r="H12" s="23" t="str">
        <x:v>BE-01</x:v>
      </x:c>
      <x:c r="I12" s="23" t="str">
        <x:v>Hàm gửi độc lập với nghiệp vụ; token được quản lý an toàn</x:v>
      </x:c>
    </x:row>
    <x:row r="13" ht="24" hidden="0" customHeight="1">
      <x:c r="A13" s="23" t="str">
        <x:v>BE-08</x:v>
      </x:c>
      <x:c r="B13" s="23" t="str">
        <x:v>Vòng đời Meetup và thành viên</x:v>
      </x:c>
      <x:c r="C13" s="23" t="str">
        <x:v>Core</x:v>
      </x:c>
      <x:c r="D13" s="23" t="n">
        <x:v>13</x:v>
      </x:c>
      <x:c r="E13" s="23" t="str">
        <x:v>S3</x:v>
      </x:c>
      <x:c r="F13" s="23" t="str">
        <x:v>Backend 1</x:v>
      </x:c>
      <x:c r="G13" s="24" t="str">
        <x:v>Đã thực hiện</x:v>
      </x:c>
      <x:c r="H13" s="23" t="str">
        <x:v>BE-03</x:v>
      </x:c>
      <x:c r="I13" s="23" t="str">
        <x:v>Lifecycle đã hoàn thành; recommendationMode chưa làm và được chuyển sang BE-14</x:v>
      </x:c>
    </x:row>
    <x:row r="14" ht="24" hidden="0" customHeight="1">
      <x:c r="A14" s="23" t="str">
        <x:v>BE-09</x:v>
      </x:c>
      <x:c r="B14" s="23" t="str">
        <x:v>Sở thích tạm thời meetup</x:v>
      </x:c>
      <x:c r="C14" s="23" t="str">
        <x:v>Core</x:v>
      </x:c>
      <x:c r="D14" s="23" t="n">
        <x:v>8</x:v>
      </x:c>
      <x:c r="E14" s="23" t="str">
        <x:v>S3</x:v>
      </x:c>
      <x:c r="F14" s="23" t="str">
        <x:v>Backend 1</x:v>
      </x:c>
      <x:c r="G14" s="24" t="str">
        <x:v>Đã thực hiện</x:v>
      </x:c>
      <x:c r="H14" s="23" t="str">
        <x:v>BE-02, BE-08</x:v>
      </x:c>
      <x:c r="I14" s="23" t="str">
        <x:v>Preference meetup ưu tiên profile; avoid là soft penalty, không phải hard filter</x:v>
      </x:c>
    </x:row>
    <x:row r="15" ht="24" hidden="0" customHeight="1">
      <x:c r="A15" s="23" t="str">
        <x:v>BE-13</x:v>
      </x:c>
      <x:c r="B15" s="23" t="str">
        <x:v>Lấy địa điểm ứng viên (candidate-only)</x:v>
      </x:c>
      <x:c r="C15" s="23" t="str">
        <x:v>Core</x:v>
      </x:c>
      <x:c r="D15" s="23" t="n">
        <x:v>8</x:v>
      </x:c>
      <x:c r="E15" s="23" t="str">
        <x:v>S3</x:v>
      </x:c>
      <x:c r="F15" s="23" t="str">
        <x:v>Backend 2</x:v>
      </x:c>
      <x:c r="G15" s="24" t="str">
        <x:v>Đã thực hiện</x:v>
      </x:c>
      <x:c r="H15" s="23" t="str">
        <x:v>BE-08</x:v>
      </x:c>
      <x:c r="I15" s="23" t="str">
        <x:v>Đã trả candidate; chưa có route, utility, ranking hoặc RecommendationRun</x:v>
      </x:c>
    </x:row>
    <x:row r="16" ht="24" hidden="0" customHeight="1">
      <x:c r="A16" s="23" t="str">
        <x:v>BE-14</x:v>
      </x:c>
      <x:c r="B16" s="23" t="str">
        <x:v>Khởi tạo recommendation run và context</x:v>
      </x:c>
      <x:c r="C16" s="23" t="str">
        <x:v>Core</x:v>
      </x:c>
      <x:c r="D16" s="23" t="n">
        <x:v>8</x:v>
      </x:c>
      <x:c r="E16" s="23" t="str">
        <x:v>S4</x:v>
      </x:c>
      <x:c r="F16" s="23" t="str">
        <x:v>Backend 2</x:v>
      </x:c>
      <x:c r="G16" s="19" t="str">
        <x:v>Chưa thực hiện</x:v>
      </x:c>
      <x:c r="H16" s="23" t="str">
        <x:v>BE-05, BE-08, BE-09, BE-13</x:v>
      </x:c>
      <x:c r="I16" s="23" t="str">
        <x:v>Chuyển recommendationMode khỏi BE-08; chỉ actor có quyền đổi; dưới 2 member hợp lệ trả lỗi có mã</x:v>
      </x:c>
    </x:row>
    <x:row r="17" ht="24" hidden="0" customHeight="1">
      <x:c r="A17" s="23" t="str">
        <x:v>BE-15</x:v>
      </x:c>
      <x:c r="B17" s="23" t="str">
        <x:v>Candidate pipeline và constraint</x:v>
      </x:c>
      <x:c r="C17" s="23" t="str">
        <x:v>Core</x:v>
      </x:c>
      <x:c r="D17" s="23" t="n">
        <x:v>8</x:v>
      </x:c>
      <x:c r="E17" s="23" t="str">
        <x:v>S4</x:v>
      </x:c>
      <x:c r="F17" s="23" t="str">
        <x:v>Backend 2</x:v>
      </x:c>
      <x:c r="G17" s="19" t="str">
        <x:v>Chưa thực hiện</x:v>
      </x:c>
      <x:c r="H17" s="23" t="str">
        <x:v>BE-13, BE-14</x:v>
      </x:c>
      <x:c r="I17" s="23" t="str">
        <x:v>OR theo category; dedup; hậu kiểm radius; openNow đúng request time; avoid không bị loại</x:v>
      </x:c>
    </x:row>
    <x:row r="18" ht="24" hidden="0" customHeight="1">
      <x:c r="A18" s="23" t="str">
        <x:v>BE-16</x:v>
      </x:c>
      <x:c r="B18" s="23" t="str">
        <x:v>Route Matrix và route validation</x:v>
      </x:c>
      <x:c r="C18" s="23" t="str">
        <x:v>Core</x:v>
      </x:c>
      <x:c r="D18" s="23" t="n">
        <x:v>13</x:v>
      </x:c>
      <x:c r="E18" s="23" t="str">
        <x:v>S4</x:v>
      </x:c>
      <x:c r="F18" s="23" t="str">
        <x:v>Backend 2</x:v>
      </x:c>
      <x:c r="G18" s="19" t="str">
        <x:v>Chưa thực hiện</x:v>
      </x:c>
      <x:c r="H18" s="23" t="str">
        <x:v>BE-05, BE-15</x:v>
      </x:c>
      <x:c r="I18" s="23" t="str">
        <x:v>Tuân element limit; ghép bằng index mapping; loại candidate thiếu route; không tạo ETA giả</x:v>
      </x:c>
    </x:row>
    <x:row r="19" ht="24" hidden="0" customHeight="1">
      <x:c r="A19" s="23" t="str">
        <x:v>BE-17</x:v>
      </x:c>
      <x:c r="B19" s="23" t="str">
        <x:v>Feature và member utility</x:v>
      </x:c>
      <x:c r="C19" s="23" t="str">
        <x:v>Core</x:v>
      </x:c>
      <x:c r="D19" s="23" t="n">
        <x:v>8</x:v>
      </x:c>
      <x:c r="E19" s="23" t="str">
        <x:v>S4</x:v>
      </x:c>
      <x:c r="F19" s="23" t="str">
        <x:v>Backend 2</x:v>
      </x:c>
      <x:c r="G19" s="19" t="str">
        <x:v>Chưa thực hiện</x:v>
      </x:c>
      <x:c r="H19" s="23" t="str">
        <x:v>BE-09, BE-16</x:v>
      </x:c>
      <x:c r="I19" s="23" t="str">
        <x:v>Utility hữu hạn trong [0,1]; avoid là soft penalty; cùng snapshot/config cho cùng kết quả</x:v>
      </x:c>
    </x:row>
    <x:row r="20" ht="24" hidden="0" customHeight="1">
      <x:c r="A20" s="23" t="str">
        <x:v>BE-22</x:v>
      </x:c>
      <x:c r="B20" s="23" t="str">
        <x:v>Group ranking và fairness</x:v>
      </x:c>
      <x:c r="C20" s="23" t="str">
        <x:v>Core</x:v>
      </x:c>
      <x:c r="D20" s="23" t="n">
        <x:v>13</x:v>
      </x:c>
      <x:c r="E20" s="23" t="str">
        <x:v>S4</x:v>
      </x:c>
      <x:c r="F20" s="23" t="str">
        <x:v>Backend 2</x:v>
      </x:c>
      <x:c r="G20" s="19" t="str">
        <x:v>Chưa thực hiện</x:v>
      </x:c>
      <x:c r="H20" s="23" t="str">
        <x:v>BE-17</x:v>
      </x:c>
      <x:c r="I20" s="23" t="str">
        <x:v>Tạo full ranking; fair-pareto lưu seed/version; unit test bằng utility matrix tính tay</x:v>
      </x:c>
    </x:row>
    <x:row r="21" ht="24" hidden="0" customHeight="1">
      <x:c r="A21" s="23" t="str">
        <x:v>BE-23</x:v>
      </x:c>
      <x:c r="B21" s="23" t="str">
        <x:v>Explanation, persistence và API kết quả</x:v>
      </x:c>
      <x:c r="C21" s="23" t="str">
        <x:v>Core</x:v>
      </x:c>
      <x:c r="D21" s="23" t="n">
        <x:v>13</x:v>
      </x:c>
      <x:c r="E21" s="23" t="str">
        <x:v>S4</x:v>
      </x:c>
      <x:c r="F21" s="23" t="str">
        <x:v>Backend 2</x:v>
      </x:c>
      <x:c r="G21" s="19" t="str">
        <x:v>Chưa thực hiện</x:v>
      </x:c>
      <x:c r="H21" s="23" t="str">
        <x:v>BE-14, BE-22</x:v>
      </x:c>
      <x:c r="I21" s="23" t="str">
        <x:v>Persist và COMPLETED cùng transaction; explanation từ feature thật; retry cùng requestId trả kết quả cũ</x:v>
      </x:c>
    </x:row>
    <x:row r="22" ht="24" hidden="0" customHeight="1">
      <x:c r="A22" s="23" t="str">
        <x:v>BE-10</x:v>
      </x:c>
      <x:c r="B22" s="23" t="str">
        <x:v>Vote và chốt địa điểm sau recommendation</x:v>
      </x:c>
      <x:c r="C22" s="23" t="str">
        <x:v>Core</x:v>
      </x:c>
      <x:c r="D22" s="23" t="n">
        <x:v>8</x:v>
      </x:c>
      <x:c r="E22" s="23" t="str">
        <x:v>S5</x:v>
      </x:c>
      <x:c r="F22" s="23" t="str">
        <x:v>Backend 1</x:v>
      </x:c>
      <x:c r="G22" s="19" t="str">
        <x:v>Chưa thực hiện</x:v>
      </x:c>
      <x:c r="H22" s="23" t="str">
        <x:v>BE-06, BE-08, BE-23</x:v>
      </x:c>
      <x:c r="I22" s="23" t="str">
        <x:v>Chỉ vote candidate thuộc run đã hiển thị; vote không thay ranking của cùng run</x:v>
      </x:c>
    </x:row>
    <x:row r="23" ht="24" hidden="0" customHeight="1">
      <x:c r="A23" s="23" t="str">
        <x:v>BE-24</x:v>
      </x:c>
      <x:c r="B23" s="23" t="str">
        <x:v>Impression và feedback linkage</x:v>
      </x:c>
      <x:c r="C23" s="23" t="str">
        <x:v>Planned</x:v>
      </x:c>
      <x:c r="D23" s="23" t="n">
        <x:v>8</x:v>
      </x:c>
      <x:c r="E23" s="23" t="str">
        <x:v>S5</x:v>
      </x:c>
      <x:c r="F23" s="23" t="str">
        <x:v>Backend 2</x:v>
      </x:c>
      <x:c r="G23" s="19" t="str">
        <x:v>Chưa thực hiện</x:v>
      </x:c>
      <x:c r="H23" s="23" t="str">
        <x:v>BE-10, BE-20, BE-23</x:v>
      </x:c>
      <x:c r="I23" s="23" t="str">
        <x:v>Event idempotent; not-shown là unknown; lỗi feedback không chạy lại recommendation</x:v>
      </x:c>
    </x:row>
    <x:row r="24" ht="15" hidden="0" customHeight="1">
      <x:c r="A24" s="23" t="str">
        <x:v>BE-11</x:v>
      </x:c>
      <x:c r="B24" s="23" t="str">
        <x:v>Chat trong meetup</x:v>
      </x:c>
      <x:c r="C24" s="23" t="str">
        <x:v>Planned</x:v>
      </x:c>
      <x:c r="D24" s="23" t="n">
        <x:v>8</x:v>
      </x:c>
      <x:c r="E24" s="23" t="str">
        <x:v>S5</x:v>
      </x:c>
      <x:c r="F24" s="23" t="str">
        <x:v>Backend 1</x:v>
      </x:c>
      <x:c r="G24" s="19" t="str">
        <x:v>Chưa thực hiện</x:v>
      </x:c>
      <x:c r="H24" s="23" t="str">
        <x:v>BE-06, BE-08</x:v>
      </x:c>
      <x:c r="I24" s="23" t="str">
        <x:v>Người ngoài meetup bị từ chối truy cập</x:v>
      </x:c>
    </x:row>
    <x:row r="25" ht="15" hidden="0" customHeight="1">
      <x:c r="A25" s="23" t="str">
        <x:v>BE-12</x:v>
      </x:c>
      <x:c r="B25" s="23" t="str">
        <x:v>Lịch sử meetup</x:v>
      </x:c>
      <x:c r="C25" s="23" t="str">
        <x:v>Planned</x:v>
      </x:c>
      <x:c r="D25" s="23" t="n">
        <x:v>3</x:v>
      </x:c>
      <x:c r="E25" s="23" t="str">
        <x:v>S5</x:v>
      </x:c>
      <x:c r="F25" s="23" t="str">
        <x:v>Backend 1</x:v>
      </x:c>
      <x:c r="G25" s="19" t="str">
        <x:v>Chưa thực hiện</x:v>
      </x:c>
      <x:c r="H25" s="23" t="str">
        <x:v>BE-08, BE-10</x:v>
      </x:c>
      <x:c r="I25" s="23" t="str">
        <x:v>Không lưu lịch sử GPS hoặc tuyến đường</x:v>
      </x:c>
    </x:row>
    <x:row r="26" ht="15" hidden="0" customHeight="1">
      <x:c r="A26" s="23" t="str">
        <x:v>BE-20</x:v>
      </x:c>
      <x:c r="B26" s="23" t="str">
        <x:v>Địa điểm yêu thích</x:v>
      </x:c>
      <x:c r="C26" s="23" t="str">
        <x:v>Planned</x:v>
      </x:c>
      <x:c r="D26" s="23" t="n">
        <x:v>2</x:v>
      </x:c>
      <x:c r="E26" s="23" t="str">
        <x:v>S5</x:v>
      </x:c>
      <x:c r="F26" s="23" t="str">
        <x:v>Backend 1</x:v>
      </x:c>
      <x:c r="G26" s="19" t="str">
        <x:v>Chưa thực hiện</x:v>
      </x:c>
      <x:c r="H26" s="23" t="str">
        <x:v>BE-08, BE-13</x:v>
      </x:c>
      <x:c r="I26" s="23" t="str">
        <x:v>Không lưu tuyến đường; xử lý Place ID không hợp lệ</x:v>
      </x:c>
    </x:row>
    <x:row r="27" ht="24" hidden="0" customHeight="1">
      <x:c r="A27" s="23" t="str">
        <x:v>BE-21</x:v>
      </x:c>
      <x:c r="B27" s="23" t="str">
        <x:v>Observability và replay recommendation</x:v>
      </x:c>
      <x:c r="C27" s="23" t="str">
        <x:v>Planned</x:v>
      </x:c>
      <x:c r="D27" s="23" t="n">
        <x:v>8</x:v>
      </x:c>
      <x:c r="E27" s="23" t="str">
        <x:v>S5</x:v>
      </x:c>
      <x:c r="F27" s="23" t="str">
        <x:v>Backend 2</x:v>
      </x:c>
      <x:c r="G27" s="19" t="str">
        <x:v>Chưa thực hiện</x:v>
      </x:c>
      <x:c r="H27" s="23" t="str">
        <x:v>BE-14 đến BE-17, BE-22 đến BE-24</x:v>
      </x:c>
      <x:c r="I27" s="23" t="str">
        <x:v>Theo dõi stage/provider; replay không gọi provider; log không chứa tọa độ hoặc token</x:v>
      </x:c>
    </x:row>
    <x:row r="28" ht="24" hidden="0" customHeight="1">
      <x:c r="A28" s="23" t="str">
        <x:v>BE-25</x:v>
      </x:c>
      <x:c r="B28" s="23" t="str">
        <x:v>Offline dataset và evaluation</x:v>
      </x:c>
      <x:c r="C28" s="23" t="str">
        <x:v>Planned</x:v>
      </x:c>
      <x:c r="D28" s="23" t="n">
        <x:v>13</x:v>
      </x:c>
      <x:c r="E28" s="23" t="str">
        <x:v>S6</x:v>
      </x:c>
      <x:c r="F28" s="23" t="str">
        <x:v>Backend 2</x:v>
      </x:c>
      <x:c r="G28" s="19" t="str">
        <x:v>Chưa thực hiện</x:v>
      </x:c>
      <x:c r="H28" s="23" t="str">
        <x:v>BE-21, BE-23, BE-24</x:v>
      </x:c>
      <x:c r="I28" s="23" t="str">
        <x:v>Không leakage; NDCG chỉ trên impressed set; báo metric theo group size/category</x:v>
      </x:c>
    </x:row>
    <x:row r="29" ht="24" hidden="0" customHeight="1">
      <x:c r="A29" s="23" t="str">
        <x:v>BE-27</x:v>
      </x:c>
      <x:c r="B29" s="23" t="str">
        <x:v>AI explanation mở rộng (tùy chọn)</x:v>
      </x:c>
      <x:c r="C29" s="23" t="str">
        <x:v>Planned</x:v>
      </x:c>
      <x:c r="D29" s="23" t="n">
        <x:v>8</x:v>
      </x:c>
      <x:c r="E29" s="23" t="str">
        <x:v>S6</x:v>
      </x:c>
      <x:c r="F29" s="23" t="str">
        <x:v>Backend 2</x:v>
      </x:c>
      <x:c r="G29" s="19" t="str">
        <x:v>Chưa thực hiện</x:v>
      </x:c>
      <x:c r="H29" s="23" t="str">
        <x:v>BE-23</x:v>
      </x:c>
      <x:c r="I29" s="23" t="str">
        <x:v>AI không đổi thứ hạng; không gửi tọa độ/tên thật; lỗi provider dùng fallback</x:v>
      </x:c>
    </x:row>
    <x:row r="30" ht="15" hidden="0" customHeight="1">
      <x:c r="A30" s="23" t="str">
        <x:v>BE-18</x:v>
      </x:c>
      <x:c r="B30" s="23" t="str">
        <x:v>Phát hiện bạn ở gần</x:v>
      </x:c>
      <x:c r="C30" s="23" t="str">
        <x:v>Planned</x:v>
      </x:c>
      <x:c r="D30" s="23" t="n">
        <x:v>8</x:v>
      </x:c>
      <x:c r="E30" s="23" t="str">
        <x:v>S6</x:v>
      </x:c>
      <x:c r="F30" s="23" t="str">
        <x:v>Backend 2</x:v>
      </x:c>
      <x:c r="G30" s="19" t="str">
        <x:v>Chưa thực hiện</x:v>
      </x:c>
      <x:c r="H30" s="23" t="str">
        <x:v>BE-04, BE-05, BE-07</x:v>
      </x:c>
      <x:c r="I30" s="23" t="str">
        <x:v>Cả hai phải bật; notification không có tọa độ</x:v>
      </x:c>
    </x:row>
    <x:row r="31" ht="15" hidden="0" customHeight="1">
      <x:c r="A31" s="23" t="str">
        <x:v>BE-19</x:v>
      </x:c>
      <x:c r="B31" s="23" t="str">
        <x:v>Quản trị tài khoản</x:v>
      </x:c>
      <x:c r="C31" s="23" t="str">
        <x:v>Planned</x:v>
      </x:c>
      <x:c r="D31" s="23" t="n">
        <x:v>4</x:v>
      </x:c>
      <x:c r="E31" s="23" t="str">
        <x:v>S7</x:v>
      </x:c>
      <x:c r="F31" s="23" t="str">
        <x:v>Backend 1</x:v>
      </x:c>
      <x:c r="G31" s="19" t="str">
        <x:v>Chưa thực hiện</x:v>
      </x:c>
      <x:c r="H31" s="23" t="str">
        <x:v>BE-01</x:v>
      </x:c>
      <x:c r="I31" s="23" t="str">
        <x:v>Có audit log; không chứa tọa độ chính xác</x:v>
      </x:c>
    </x:row>
    <x:row r="32" ht="24" hidden="0" customHeight="1">
      <x:c r="A32" s="23" t="str">
        <x:v>BE-26</x:v>
      </x:c>
      <x:c r="B32" s="23" t="str">
        <x:v>Learning-to-rank và model lifecycle</x:v>
      </x:c>
      <x:c r="C32" s="23" t="str">
        <x:v>Planned</x:v>
      </x:c>
      <x:c r="D32" s="23" t="n">
        <x:v>13</x:v>
      </x:c>
      <x:c r="E32" s="23" t="str">
        <x:v>S7+</x:v>
      </x:c>
      <x:c r="F32" s="23" t="str">
        <x:v>Backend 2</x:v>
      </x:c>
      <x:c r="G32" s="19" t="str">
        <x:v>Chưa thực hiện</x:v>
      </x:c>
      <x:c r="H32" s="23" t="str">
        <x:v>BE-21, BE-24, BE-25</x:v>
      </x:c>
      <x:c r="I32" s="23" t="str">
        <x:v>Chỉ shadow khi chưa chốt fairness contract; production có version/guardrail; fair-pareto là fallback</x:v>
      </x:c>
    </x:row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2:I2"/>
    <x:mergeCell ref="A3:I3"/>
  </x:mergeCells>
  <x:conditionalFormatting sqref="C6:C24">
    <x:cfRule type="expression" dxfId="0" priority="1">
      <x:formula>C6="Core"</x:formula>
    </x:cfRule>
  </x:conditionalFormatting>
  <x:conditionalFormatting sqref="C6:C24">
    <x:cfRule type="expression" dxfId="1" priority="2">
      <x:formula>C6="Planned"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20" customWidth="1"/>
    <x:col min="2" max="2" width="28" customWidth="1"/>
    <x:col min="3" max="4" width="13" customWidth="1"/>
    <x:col min="5" max="5" width="38" customWidth="1"/>
    <x:col min="6" max="6" width="32" customWidth="1"/>
    <x:col min="7" max="26" width="8.630000114440918" customWidth="1"/>
  </x:cols>
  <x:sheetData>
    <x:row r="1" ht="13.5" customHeight="1"/>
    <x:row r="2" ht="18" hidden="0" customHeight="1">
      <x:c r="A2" s="45" t="s">
        <x:v>32</x:v>
      </x:c>
      <x:c r="B2" s="41"/>
      <x:c r="C2" s="41"/>
      <x:c r="D2" s="41"/>
      <x:c r="E2" s="41"/>
      <x:c r="F2" s="41"/>
      <x:c r="G2" s="41"/>
      <x:c r="H2" s="41"/>
    </x:row>
    <x:row r="3" ht="15" hidden="0" customHeight="1">
      <x:c r="A3" s="46" t="s">
        <x:v>33</x:v>
      </x:c>
      <x:c r="B3" s="41"/>
      <x:c r="C3" s="41"/>
      <x:c r="D3" s="41"/>
      <x:c r="E3" s="41"/>
      <x:c r="F3" s="41"/>
      <x:c r="G3" s="41"/>
      <x:c r="H3" s="41"/>
    </x:row>
    <x:row r="4" ht="15" hidden="0" customHeight="1">
      <x:c r="A4" s="41"/>
      <x:c r="B4" s="41"/>
      <x:c r="C4" s="41"/>
      <x:c r="D4" s="41"/>
      <x:c r="E4" s="41"/>
      <x:c r="F4" s="41"/>
      <x:c r="G4" s="41"/>
      <x:c r="H4" s="41"/>
    </x:row>
    <x:row r="5" ht="15" hidden="0" customHeight="1">
      <x:c r="A5" s="22" t="s">
        <x:v>4</x:v>
      </x:c>
      <x:c r="B5" s="22" t="s">
        <x:v>34</x:v>
      </x:c>
      <x:c r="C5" s="22" t="s">
        <x:v>6</x:v>
      </x:c>
      <x:c r="D5" s="22" t="s">
        <x:v>7</x:v>
      </x:c>
      <x:c r="E5" s="22" t="s">
        <x:v>8</x:v>
      </x:c>
      <x:c r="F5" s="22" t="s">
        <x:v>35</x:v>
      </x:c>
      <x:c r="G5" s="41"/>
      <x:c r="H5" s="41"/>
    </x:row>
    <x:row r="6" ht="24" hidden="0" customHeight="1">
      <x:c r="A6" s="23" t="s">
        <x:v>36</x:v>
      </x:c>
      <x:c r="B6" s="23" t="s">
        <x:v>37</x:v>
      </x:c>
      <x:c r="C6" s="23" t="n">
        <x:f>SUMIF('Chức năng BE'!$F$6:$F$32,A6,'Chức năng BE'!$E$6:$E$32)</x:f>
        <x:v>72</x:v>
      </x:c>
      <x:c r="D6" s="47" t="n">
        <x:f t="shared" ref="D6:D7" si="1">C6/SUM($C$6:$C$7)</x:f>
        <x:v>0.31718061674008813</x:v>
      </x:c>
      <x:c r="E6" s="23" t="s">
        <x:v>38</x:v>
      </x:c>
      <x:c r="F6" s="23" t="str">
        <x:v>Realtime, recommendation system và tích hợp ngoài</x:v>
      </x:c>
      <x:c r="G6" s="41"/>
      <x:c r="H6" s="41"/>
    </x:row>
    <x:row r="7" ht="36" hidden="0" customHeight="1">
      <x:c r="A7" s="23" t="s">
        <x:v>39</x:v>
      </x:c>
      <x:c r="B7" s="23" t="str">
        <x:v>Realtime, recommendation system và tích hợp ngoài</x:v>
      </x:c>
      <x:c r="C7" s="23" t="n">
        <x:f>SUMIF('Chức năng BE'!$F$6:$F$32,A7,'Chức năng BE'!$E$6:$E$32)</x:f>
        <x:v>155</x:v>
      </x:c>
      <x:c r="D7" s="47" t="n">
        <x:f t="shared" si="1">C7/SUM($C$6:$C$7)</x:f>
        <x:v>0.6828193832599119</x:v>
      </x:c>
      <x:c r="E7" s="23" t="str">
        <x:v>Vị trí, Socket, FCM, Places, Routes, candidate pipeline, utility, fairness, feedback, offline evaluation, LTR, AI, nearby, observability</x:v>
      </x:c>
      <x:c r="F7" s="23" t="s">
        <x:v>40</x:v>
      </x:c>
      <x:c r="G7" s="41"/>
      <x:c r="H7" s="41"/>
    </x:row>
    <x:row r="8" ht="15" hidden="0" customHeight="1">
      <x:c r="A8" s="23"/>
      <x:c r="B8" s="23"/>
      <x:c r="C8" s="23"/>
      <x:c r="D8" s="47"/>
      <x:c r="E8" s="23"/>
      <x:c r="F8" s="23"/>
      <x:c r="G8" s="41"/>
      <x:c r="H8" s="41"/>
    </x:row>
    <x:row r="9" ht="15" hidden="0" customHeight="1">
      <x:c r="A9" s="23"/>
      <x:c r="B9" s="23"/>
      <x:c r="C9" s="23"/>
      <x:c r="D9" s="47"/>
      <x:c r="E9" s="23"/>
      <x:c r="F9" s="23"/>
      <x:c r="G9" s="41"/>
      <x:c r="H9" s="41"/>
    </x:row>
    <x:row r="10" ht="15" hidden="0" customHeight="1">
      <x:c r="A10" s="41"/>
      <x:c r="B10" s="41"/>
      <x:c r="C10" s="41"/>
      <x:c r="D10" s="41"/>
      <x:c r="E10" s="41"/>
      <x:c r="F10" s="41"/>
      <x:c r="G10" s="41"/>
      <x:c r="H10" s="41"/>
    </x:row>
    <x:row r="11" ht="15" hidden="0" customHeight="1">
      <x:c r="A11" s="41"/>
      <x:c r="B11" s="41"/>
      <x:c r="C11" s="41"/>
      <x:c r="D11" s="41"/>
      <x:c r="E11" s="41"/>
      <x:c r="F11" s="41"/>
      <x:c r="G11" s="41"/>
      <x:c r="H11" s="41"/>
    </x:row>
    <x:row r="12" ht="15" hidden="0" customHeight="1">
      <x:c r="A12" s="48" t="s">
        <x:v>41</x:v>
      </x:c>
      <x:c r="B12" s="49" t="s">
        <x:v>42</x:v>
      </x:c>
      <x:c r="C12" s="49"/>
      <x:c r="D12" s="49"/>
      <x:c r="E12" s="49"/>
      <x:c r="F12" s="49"/>
      <x:c r="G12" s="23"/>
      <x:c r="H12" s="23"/>
    </x:row>
    <x:row r="13" ht="15" hidden="0" customHeight="1">
      <x:c r="A13" s="50" t="s">
        <x:v>24</x:v>
      </x:c>
      <x:c r="B13" s="51" t="s">
        <x:v>43</x:v>
      </x:c>
      <x:c r="C13" s="41"/>
      <x:c r="D13" s="41"/>
      <x:c r="E13" s="41"/>
      <x:c r="F13" s="41"/>
      <x:c r="G13" s="23"/>
      <x:c r="H13" s="23"/>
    </x:row>
    <x:row r="14" ht="15" hidden="0" customHeight="1">
      <x:c r="A14" s="50" t="s">
        <x:v>44</x:v>
      </x:c>
      <x:c r="B14" s="51" t="s">
        <x:v>45</x:v>
      </x:c>
      <x:c r="C14" s="41"/>
      <x:c r="D14" s="41"/>
      <x:c r="E14" s="41"/>
      <x:c r="F14" s="41"/>
      <x:c r="G14" s="23"/>
      <x:c r="H14" s="23"/>
    </x:row>
    <x:row r="15" ht="15" hidden="0" customHeight="1">
      <x:c r="A15" s="50" t="s">
        <x:v>46</x:v>
      </x:c>
      <x:c r="B15" s="51" t="str">
        <x:v>BE-05/06/08/09/10/13–17/20/22–26 cần chốt port, DTO và event trước khi lập trình song song.</x:v>
      </x:c>
      <x:c r="C15" s="41"/>
      <x:c r="D15" s="41"/>
      <x:c r="E15" s="41"/>
      <x:c r="F15" s="41"/>
      <x:c r="G15" s="23"/>
      <x:c r="H15" s="23"/>
    </x:row>
    <x:row r="16" ht="15" hidden="0" customHeight="1">
      <x:c r="A16" s="50" t="s">
        <x:v>47</x:v>
      </x:c>
      <x:c r="B16" s="51" t="s">
        <x:v>48</x:v>
      </x:c>
      <x:c r="C16" s="41"/>
      <x:c r="D16" s="41"/>
      <x:c r="E16" s="41"/>
      <x:c r="F16" s="41"/>
      <x:c r="G16" s="23"/>
      <x:c r="H16" s="23"/>
    </x:row>
    <x:row r="17" ht="15" hidden="0" customHeight="1">
      <x:c r="A17" s="50" t="s">
        <x:v>49</x:v>
      </x:c>
      <x:c r="B17" s="51" t="s">
        <x:v>50</x:v>
      </x:c>
      <x:c r="C17" s="41"/>
      <x:c r="D17" s="41"/>
      <x:c r="E17" s="41"/>
      <x:c r="F17" s="41"/>
      <x:c r="G17" s="23"/>
      <x:c r="H17" s="23"/>
    </x:row>
    <x:row r="18" ht="15" hidden="0" customHeight="1">
      <x:c r="A18" s="50" t="s">
        <x:v>51</x:v>
      </x:c>
      <x:c r="B18" s="51" t="str">
        <x:v>Route Matrix dùng TWO_WHEELER và batch hai chiều; vote chỉ phát sinh sau recommendation, không xếp hạng lại cùng run.</x:v>
      </x:c>
      <x:c r="C18" s="41"/>
      <x:c r="D18" s="41"/>
      <x:c r="E18" s="41"/>
      <x:c r="F18" s="41"/>
      <x:c r="G18" s="23"/>
      <x:c r="H18" s="23"/>
    </x:row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2:H2"/>
    <x:mergeCell ref="A3:H3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5" hidden="0" customWidth="1"/>
    <x:col min="2" max="2" width="34" hidden="0" customWidth="1"/>
    <x:col min="3" max="5" width="12" customWidth="1"/>
    <x:col min="6" max="7" width="15" customWidth="1"/>
    <x:col min="8" max="8" width="55" hidden="0" customWidth="1"/>
    <x:col min="9" max="26" width="8.630000114440918" customWidth="1"/>
  </x:cols>
  <x:sheetData>
    <x:row r="1" ht="13.5" customHeight="1"/>
    <x:row r="2" ht="13.5" customHeight="1">
      <x:c r="A2" s="1" t="s">
        <x:v>52</x:v>
      </x:c>
    </x:row>
    <x:row r="3" ht="13.5" customHeight="1">
      <x:c r="A3" s="2" t="s">
        <x:v>53</x:v>
      </x:c>
    </x:row>
    <x:row r="4" ht="13.5" customHeight="1"/>
    <x:row r="5" ht="13.5" customHeight="1">
      <x:c r="A5" s="22" t="s">
        <x:v>20</x:v>
      </x:c>
      <x:c r="B5" s="22" t="s">
        <x:v>21</x:v>
      </x:c>
      <x:c r="C5" s="22" t="s">
        <x:v>54</x:v>
      </x:c>
      <x:c r="D5" s="22" t="s">
        <x:v>55</x:v>
      </x:c>
      <x:c r="E5" s="22" t="s">
        <x:v>56</x:v>
      </x:c>
      <x:c r="F5" s="22" t="s">
        <x:v>6</x:v>
      </x:c>
      <x:c r="G5" s="22" t="s">
        <x:v>24</x:v>
      </x:c>
      <x:c r="H5" s="22" t="s">
        <x:v>57</x:v>
      </x:c>
    </x:row>
    <x:row r="6" ht="15" hidden="0" customHeight="1">
      <x:c r="A6" s="28" t="str">
        <x:v>BE-01</x:v>
      </x:c>
      <x:c r="B6" s="28" t="str">
        <x:v>Xác thực và phiên đăng nhập</x:v>
      </x:c>
      <x:c r="C6" s="28" t="str">
        <x:v>-</x:v>
      </x:c>
      <x:c r="D6" s="28" t="str">
        <x:v>-</x:v>
      </x:c>
      <x:c r="E6" s="28" t="str">
        <x:v>-</x:v>
      </x:c>
      <x:c r="F6" s="28" t="n">
        <x:v>8</x:v>
      </x:c>
      <x:c r="G6" s="28" t="str">
        <x:v>Backend 1</x:v>
      </x:c>
      <x:c r="H6" s="28" t="str">
        <x:v>Đăng ký, đăng nhập, đăng xuất, làm mới token, Google OAuth</x:v>
      </x:c>
    </x:row>
    <x:row r="7" ht="15" hidden="0" customHeight="1">
      <x:c r="A7" s="28" t="str">
        <x:v>BE-02</x:v>
      </x:c>
      <x:c r="B7" s="28" t="str">
        <x:v>Hồ sơ và sở thích profile</x:v>
      </x:c>
      <x:c r="C7" s="28" t="str">
        <x:v>-</x:v>
      </x:c>
      <x:c r="D7" s="28" t="str">
        <x:v>-</x:v>
      </x:c>
      <x:c r="E7" s="28" t="str">
        <x:v>-</x:v>
      </x:c>
      <x:c r="F7" s="28" t="n">
        <x:v>5</x:v>
      </x:c>
      <x:c r="G7" s="28" t="str">
        <x:v>Backend 1</x:v>
      </x:c>
      <x:c r="H7" s="28" t="str">
        <x:v>Cập nhật profile; lưu UserPreference làm dữ liệu điền sẵn</x:v>
      </x:c>
    </x:row>
    <x:row r="8" ht="15" hidden="0" customHeight="1">
      <x:c r="A8" s="28" t="str">
        <x:v>BE-03</x:v>
      </x:c>
      <x:c r="B8" s="28" t="str">
        <x:v>Kết bạn</x:v>
      </x:c>
      <x:c r="C8" s="28" t="str">
        <x:v>-</x:v>
      </x:c>
      <x:c r="D8" s="28" t="str">
        <x:v>-</x:v>
      </x:c>
      <x:c r="E8" s="28" t="str">
        <x:v>-</x:v>
      </x:c>
      <x:c r="F8" s="28" t="n">
        <x:v>8</x:v>
      </x:c>
      <x:c r="G8" s="28" t="str">
        <x:v>Backend 1</x:v>
      </x:c>
      <x:c r="H8" s="28" t="str">
        <x:v>Tìm kiếm, gửi, chấp nhận, từ chối lời mời bạn bè</x:v>
      </x:c>
    </x:row>
    <x:row r="9" ht="15" hidden="0" customHeight="1">
      <x:c r="A9" s="28" t="str">
        <x:v>BE-04</x:v>
      </x:c>
      <x:c r="B9" s="28" t="str">
        <x:v>Quyền riêng tư vị trí</x:v>
      </x:c>
      <x:c r="C9" s="28" t="str">
        <x:v>-</x:v>
      </x:c>
      <x:c r="D9" s="28" t="str">
        <x:v>-</x:v>
      </x:c>
      <x:c r="E9" s="28" t="str">
        <x:v>-</x:v>
      </x:c>
      <x:c r="F9" s="28" t="n">
        <x:v>5</x:v>
      </x:c>
      <x:c r="G9" s="28" t="str">
        <x:v>Backend 1</x:v>
      </x:c>
      <x:c r="H9" s="28" t="str">
        <x:v>Thiết lập chế độ chia sẻ, thời hạn, vị trí gần đúng; kiểm tra quyền</x:v>
      </x:c>
    </x:row>
    <x:row r="10" ht="24" hidden="0" customHeight="1">
      <x:c r="A10" s="28" t="str">
        <x:v>BE-05</x:v>
      </x:c>
      <x:c r="B10" s="28" t="str">
        <x:v>Nhận và lưu vị trí realtime</x:v>
      </x:c>
      <x:c r="C10" s="28" t="str">
        <x:v>-</x:v>
      </x:c>
      <x:c r="D10" s="28" t="str">
        <x:v>-</x:v>
      </x:c>
      <x:c r="E10" s="28" t="str">
        <x:v>-</x:v>
      </x:c>
      <x:c r="F10" s="28" t="n">
        <x:v>13</x:v>
      </x:c>
      <x:c r="G10" s="28" t="str">
        <x:v>Backend 2</x:v>
      </x:c>
      <x:c r="H10" s="28" t="str">
        <x:v>Nhận location:update, kiểm quyền, cập nhật latest location/Redis TTL, phát LocationUpdated</x:v>
      </x:c>
    </x:row>
    <x:row r="11" ht="15" hidden="0" customHeight="1">
      <x:c r="A11" s="28" t="str">
        <x:v>BE-06</x:v>
      </x:c>
      <x:c r="B11" s="28" t="str">
        <x:v>Nền tảng Socket và presence</x:v>
      </x:c>
      <x:c r="C11" s="28" t="str">
        <x:v>-</x:v>
      </x:c>
      <x:c r="D11" s="28" t="str">
        <x:v>-</x:v>
      </x:c>
      <x:c r="E11" s="28" t="str">
        <x:v>-</x:v>
      </x:c>
      <x:c r="F11" s="28" t="n">
        <x:v>8</x:v>
      </x:c>
      <x:c r="G11" s="28" t="str">
        <x:v>Backend 2</x:v>
      </x:c>
      <x:c r="H11" s="28" t="str">
        <x:v>Kết nối/xác thực Socket, room, presence và phát domain event</x:v>
      </x:c>
    </x:row>
    <x:row r="12" ht="15" hidden="0" customHeight="1">
      <x:c r="A12" s="28" t="str">
        <x:v>BE-07</x:v>
      </x:c>
      <x:c r="B12" s="28" t="str">
        <x:v>Thiết bị và nền tảng FCM</x:v>
      </x:c>
      <x:c r="C12" s="28" t="str">
        <x:v>-</x:v>
      </x:c>
      <x:c r="D12" s="28" t="str">
        <x:v>-</x:v>
      </x:c>
      <x:c r="E12" s="28" t="str">
        <x:v>-</x:v>
      </x:c>
      <x:c r="F12" s="28" t="n">
        <x:v>5</x:v>
      </x:c>
      <x:c r="G12" s="28" t="str">
        <x:v>Backend 2</x:v>
      </x:c>
      <x:c r="H12" s="28" t="str">
        <x:v>Lưu FCM token, hàm gửi chung, worker gửi và log kết quả</x:v>
      </x:c>
    </x:row>
    <x:row r="13" ht="24" hidden="0" customHeight="1">
      <x:c r="A13" s="28" t="str">
        <x:v>BE-08</x:v>
      </x:c>
      <x:c r="B13" s="28" t="str">
        <x:v>Vòng đời Meetup và thành viên</x:v>
      </x:c>
      <x:c r="C13" s="28" t="str">
        <x:v>-</x:v>
      </x:c>
      <x:c r="D13" s="28" t="str">
        <x:v>-</x:v>
      </x:c>
      <x:c r="E13" s="28" t="str">
        <x:v>-</x:v>
      </x:c>
      <x:c r="F13" s="28" t="n">
        <x:v>13</x:v>
      </x:c>
      <x:c r="G13" s="28" t="str">
        <x:v>Backend 1</x:v>
      </x:c>
      <x:c r="H13" s="28" t="str">
        <x:v>Tạo, sửa, hủy, mời, accept/reject, leave/remove và chuyển trạng thái meetup</x:v>
      </x:c>
    </x:row>
    <x:row r="14" ht="15" hidden="0" customHeight="1">
      <x:c r="A14" s="28" t="str">
        <x:v>BE-09</x:v>
      </x:c>
      <x:c r="B14" s="28" t="str">
        <x:v>Sở thích tạm thời meetup</x:v>
      </x:c>
      <x:c r="C14" s="28" t="str">
        <x:v>-</x:v>
      </x:c>
      <x:c r="D14" s="28" t="str">
        <x:v>-</x:v>
      </x:c>
      <x:c r="E14" s="28" t="str">
        <x:v>-</x:v>
      </x:c>
      <x:c r="F14" s="28" t="n">
        <x:v>8</x:v>
      </x:c>
      <x:c r="G14" s="28" t="str">
        <x:v>Backend 1</x:v>
      </x:c>
      <x:c r="H14" s="28" t="str">
        <x:v>Lưu MeetupMemberPreference: high, normal, avoid, profile_fallback</x:v>
      </x:c>
    </x:row>
    <x:row r="15" ht="24" hidden="0" customHeight="1">
      <x:c r="A15" s="28" t="str">
        <x:v>BE-13</x:v>
      </x:c>
      <x:c r="B15" s="28" t="str">
        <x:v>Lấy địa điểm ứng viên (candidate-only)</x:v>
      </x:c>
      <x:c r="C15" s="28" t="str">
        <x:v>-</x:v>
      </x:c>
      <x:c r="D15" s="28" t="str">
        <x:v>-</x:v>
      </x:c>
      <x:c r="E15" s="28" t="str">
        <x:v>-</x:v>
      </x:c>
      <x:c r="F15" s="28" t="n">
        <x:v>8</x:v>
      </x:c>
      <x:c r="G15" s="28" t="str">
        <x:v>Backend 2</x:v>
      </x:c>
      <x:c r="H15" s="28" t="str">
        <x:v>GET place-candidates; gọi Google Places Text Search và chuẩn hóa candidate</x:v>
      </x:c>
    </x:row>
    <x:row r="16" ht="24" hidden="0" customHeight="1">
      <x:c r="A16" s="28" t="str">
        <x:v>BE-14</x:v>
      </x:c>
      <x:c r="B16" s="28" t="str">
        <x:v>Khởi tạo recommendation run và context</x:v>
      </x:c>
      <x:c r="C16" s="28" t="str">
        <x:v>-</x:v>
      </x:c>
      <x:c r="D16" s="28" t="str">
        <x:v>-</x:v>
      </x:c>
      <x:c r="E16" s="28" t="str">
        <x:v>-</x:v>
      </x:c>
      <x:c r="F16" s="28" t="n">
        <x:v>8</x:v>
      </x:c>
      <x:c r="G16" s="28" t="str">
        <x:v>Backend 2</x:v>
      </x:c>
      <x:c r="H16" s="28" t="str">
        <x:v>POST/GET recommendation-runs; validate, idempotency, ContextBuilder; lưu recommendationMode/ranking strategy</x:v>
      </x:c>
    </x:row>
    <x:row r="17" ht="24" hidden="0" customHeight="1">
      <x:c r="A17" s="28" t="str">
        <x:v>BE-15</x:v>
      </x:c>
      <x:c r="B17" s="28" t="str">
        <x:v>Candidate pipeline và constraint</x:v>
      </x:c>
      <x:c r="C17" s="28" t="str">
        <x:v>-</x:v>
      </x:c>
      <x:c r="D17" s="28" t="str">
        <x:v>-</x:v>
      </x:c>
      <x:c r="E17" s="28" t="str">
        <x:v>-</x:v>
      </x:c>
      <x:c r="F17" s="28" t="n">
        <x:v>8</x:v>
      </x:c>
      <x:c r="G17" s="28" t="str">
        <x:v>Backend 2</x:v>
      </x:c>
      <x:c r="H17" s="28" t="str">
        <x:v>Category mapping; multi-query/pagination; CandidateMerger; provider-side và residual hard filter</x:v>
      </x:c>
    </x:row>
    <x:row r="18" ht="24" hidden="0" customHeight="1">
      <x:c r="A18" s="28" t="str">
        <x:v>BE-16</x:v>
      </x:c>
      <x:c r="B18" s="28" t="str">
        <x:v>Route Matrix và route validation</x:v>
      </x:c>
      <x:c r="C18" s="28" t="str">
        <x:v>-</x:v>
      </x:c>
      <x:c r="D18" s="28" t="str">
        <x:v>-</x:v>
      </x:c>
      <x:c r="E18" s="28" t="str">
        <x:v>-</x:v>
      </x:c>
      <x:c r="F18" s="28" t="n">
        <x:v>13</x:v>
      </x:c>
      <x:c r="G18" s="28" t="str">
        <x:v>Backend 2</x:v>
      </x:c>
      <x:c r="H18" s="28" t="str">
        <x:v>RouteBatchPlanner hai chiều; Google ComputeRouteMatrix; TWO_WHEELER; effectiveK</x:v>
      </x:c>
    </x:row>
    <x:row r="19" ht="24" hidden="0" customHeight="1">
      <x:c r="A19" s="28" t="str">
        <x:v>BE-17</x:v>
      </x:c>
      <x:c r="B19" s="28" t="str">
        <x:v>Feature và member utility</x:v>
      </x:c>
      <x:c r="C19" s="28" t="str">
        <x:v>-</x:v>
      </x:c>
      <x:c r="D19" s="28" t="str">
        <x:v>-</x:v>
      </x:c>
      <x:c r="E19" s="28" t="str">
        <x:v>-</x:v>
      </x:c>
      <x:c r="F19" s="28" t="n">
        <x:v>8</x:v>
      </x:c>
      <x:c r="G19" s="28" t="str">
        <x:v>Backend 2</x:v>
      </x:c>
      <x:c r="H19" s="28" t="str">
        <x:v>FeatureBuilder; tính T, P, Q và U theo config/version cho từng member-candidate</x:v>
      </x:c>
    </x:row>
    <x:row r="20" ht="15" hidden="0" customHeight="1">
      <x:c r="A20" s="28" t="str">
        <x:v>BE-22</x:v>
      </x:c>
      <x:c r="B20" s="28" t="str">
        <x:v>Group ranking và fairness</x:v>
      </x:c>
      <x:c r="C20" s="28" t="str">
        <x:v>-</x:v>
      </x:c>
      <x:c r="D20" s="28" t="str">
        <x:v>-</x:v>
      </x:c>
      <x:c r="E20" s="28" t="str">
        <x:v>-</x:v>
      </x:c>
      <x:c r="F20" s="28" t="n">
        <x:v>13</x:v>
      </x:c>
      <x:c r="G20" s="28" t="str">
        <x:v>Backend 2</x:v>
      </x:c>
      <x:c r="H20" s="28" t="str">
        <x:v>GroupRanker: min-sum, min-max, fair-pareto-v1; tie-break deterministic</x:v>
      </x:c>
    </x:row>
    <x:row r="21" ht="24" hidden="0" customHeight="1">
      <x:c r="A21" s="28" t="str">
        <x:v>BE-23</x:v>
      </x:c>
      <x:c r="B21" s="28" t="str">
        <x:v>Explanation, persistence và API kết quả</x:v>
      </x:c>
      <x:c r="C21" s="28" t="str">
        <x:v>-</x:v>
      </x:c>
      <x:c r="D21" s="28" t="str">
        <x:v>-</x:v>
      </x:c>
      <x:c r="E21" s="28" t="str">
        <x:v>-</x:v>
      </x:c>
      <x:c r="F21" s="28" t="n">
        <x:v>13</x:v>
      </x:c>
      <x:c r="G21" s="28" t="str">
        <x:v>Backend 2</x:v>
      </x:c>
      <x:c r="H21" s="28" t="str">
        <x:v>ExplanationBuilder; persist run/snapshot/full ranking; RecommendationReady; trả top-K</x:v>
      </x:c>
    </x:row>
    <x:row r="22" ht="15" hidden="0" customHeight="1">
      <x:c r="A22" s="28" t="str">
        <x:v>BE-10</x:v>
      </x:c>
      <x:c r="B22" s="28" t="str">
        <x:v>Vote và chốt địa điểm sau recommendation</x:v>
      </x:c>
      <x:c r="C22" s="28" t="str">
        <x:v>-</x:v>
      </x:c>
      <x:c r="D22" s="28" t="str">
        <x:v>-</x:v>
      </x:c>
      <x:c r="E22" s="28" t="str">
        <x:v>-</x:v>
      </x:c>
      <x:c r="F22" s="28" t="n">
        <x:v>8</x:v>
      </x:c>
      <x:c r="G22" s="28" t="str">
        <x:v>Backend 1</x:v>
      </x:c>
      <x:c r="H22" s="28" t="str">
        <x:v>Một vote/người; đổi vote; hết hạn; chốt; phát VoteUpdated với runId</x:v>
      </x:c>
    </x:row>
    <x:row r="23" ht="24" hidden="0" customHeight="1">
      <x:c r="A23" s="28" t="str">
        <x:v>BE-24</x:v>
      </x:c>
      <x:c r="B23" s="28" t="str">
        <x:v>Impression và feedback linkage</x:v>
      </x:c>
      <x:c r="C23" s="28" t="str">
        <x:v>-</x:v>
      </x:c>
      <x:c r="D23" s="28" t="str">
        <x:v>-</x:v>
      </x:c>
      <x:c r="E23" s="28" t="str">
        <x:v>-</x:v>
      </x:c>
      <x:c r="F23" s="28" t="n">
        <x:v>8</x:v>
      </x:c>
      <x:c r="G23" s="28" t="str">
        <x:v>Backend 2</x:v>
      </x:c>
      <x:c r="H23" s="28" t="str">
        <x:v>Ghi RecommendationShown; liên kết vote, selection, navigation, favorite theo runId/eventId</x:v>
      </x:c>
    </x:row>
    <x:row r="24" ht="15" hidden="0" customHeight="1">
      <x:c r="A24" s="28" t="str">
        <x:v>BE-11</x:v>
      </x:c>
      <x:c r="B24" s="28" t="str">
        <x:v>Chat trong meetup</x:v>
      </x:c>
      <x:c r="C24" s="28" t="str">
        <x:v>-</x:v>
      </x:c>
      <x:c r="D24" s="28" t="str">
        <x:v>-</x:v>
      </x:c>
      <x:c r="E24" s="28" t="str">
        <x:v>-</x:v>
      </x:c>
      <x:c r="F24" s="28" t="n">
        <x:v>8</x:v>
      </x:c>
      <x:c r="G24" s="28" t="str">
        <x:v>Backend 1</x:v>
      </x:c>
      <x:c r="H24" s="28" t="str">
        <x:v>Gửi/đọc tin nhắn; phân quyền theo thành viên meetup</x:v>
      </x:c>
    </x:row>
    <x:row r="25" ht="15" hidden="0" customHeight="1">
      <x:c r="A25" s="39" t="str">
        <x:v>BE-12</x:v>
      </x:c>
      <x:c r="B25" s="39" t="str">
        <x:v>Lịch sử meetup</x:v>
      </x:c>
      <x:c r="C25" s="39" t="str">
        <x:v>-</x:v>
      </x:c>
      <x:c r="D25" s="39" t="str">
        <x:v>-</x:v>
      </x:c>
      <x:c r="E25" s="39" t="str">
        <x:v>-</x:v>
      </x:c>
      <x:c r="F25" s="39" t="n">
        <x:v>3</x:v>
      </x:c>
      <x:c r="G25" s="39" t="str">
        <x:v>Backend 1</x:v>
      </x:c>
      <x:c r="H25" s="39" t="str">
        <x:v>Lưu meetup đã kết thúc và dữ liệu hiển thị lịch sử</x:v>
      </x:c>
    </x:row>
    <x:row r="26" ht="15" hidden="0" customHeight="1">
      <x:c r="A26" s="40" t="str">
        <x:v>BE-20</x:v>
      </x:c>
      <x:c r="B26" s="28" t="str">
        <x:v>Địa điểm yêu thích</x:v>
      </x:c>
      <x:c r="C26" s="28" t="str">
        <x:v>-</x:v>
      </x:c>
      <x:c r="D26" s="28" t="str">
        <x:v>-</x:v>
      </x:c>
      <x:c r="E26" s="28" t="str">
        <x:v>-</x:v>
      </x:c>
      <x:c r="F26" s="28" t="n">
        <x:v>2</x:v>
      </x:c>
      <x:c r="G26" s="28" t="str">
        <x:v>Backend 1</x:v>
      </x:c>
      <x:c r="H26" s="28" t="str">
        <x:v>Thêm/xóa FavoritePlace theo canonical candidate/Place ID; chống trùng</x:v>
      </x:c>
    </x:row>
    <x:row r="27" ht="24" hidden="0" customHeight="1">
      <x:c r="A27" s="40" t="str">
        <x:v>BE-21</x:v>
      </x:c>
      <x:c r="B27" s="28" t="str">
        <x:v>Observability và replay recommendation</x:v>
      </x:c>
      <x:c r="C27" s="28" t="str">
        <x:v>-</x:v>
      </x:c>
      <x:c r="D27" s="28" t="str">
        <x:v>-</x:v>
      </x:c>
      <x:c r="E27" s="28" t="str">
        <x:v>-</x:v>
      </x:c>
      <x:c r="F27" s="28" t="n">
        <x:v>8</x:v>
      </x:c>
      <x:c r="G27" s="28" t="str">
        <x:v>Backend 2</x:v>
      </x:c>
      <x:c r="H27" s="28" t="str">
        <x:v>Metric latency/error/cost/coverage; redacted log; replay một run từ snapshot</x:v>
      </x:c>
    </x:row>
    <x:row r="28" ht="24" hidden="0" customHeight="1">
      <x:c r="A28" s="40" t="str">
        <x:v>BE-25</x:v>
      </x:c>
      <x:c r="B28" s="28" t="str">
        <x:v>Offline dataset và evaluation</x:v>
      </x:c>
      <x:c r="C28" s="28" t="str">
        <x:v>-</x:v>
      </x:c>
      <x:c r="D28" s="28" t="str">
        <x:v>-</x:v>
      </x:c>
      <x:c r="E28" s="28" t="str">
        <x:v>-</x:v>
      </x:c>
      <x:c r="F28" s="28" t="n">
        <x:v>13</x:v>
      </x:c>
      <x:c r="G28" s="28" t="str">
        <x:v>Backend 2</x:v>
      </x:c>
      <x:c r="H28" s="28" t="str">
        <x:v>DatasetBuilder; time split; replay strategy; metric utility, fairness, NDCG và hệ thống</x:v>
      </x:c>
    </x:row>
    <x:row r="29" ht="24" hidden="0" customHeight="1">
      <x:c r="A29" s="40" t="str">
        <x:v>BE-27</x:v>
      </x:c>
      <x:c r="B29" s="28" t="str">
        <x:v>AI explanation mở rộng (tùy chọn)</x:v>
      </x:c>
      <x:c r="C29" s="28" t="str">
        <x:v>-</x:v>
      </x:c>
      <x:c r="D29" s="28" t="str">
        <x:v>-</x:v>
      </x:c>
      <x:c r="E29" s="28" t="str">
        <x:v>-</x:v>
      </x:c>
      <x:c r="F29" s="28" t="n">
        <x:v>8</x:v>
      </x:c>
      <x:c r="G29" s="28" t="str">
        <x:v>Backend 2</x:v>
      </x:c>
      <x:c r="H29" s="28" t="str">
        <x:v>ExplanationGeneratorPort; redaction; schema validation; fallback về explanation deterministic</x:v>
      </x:c>
    </x:row>
    <x:row r="30" ht="15" hidden="0" customHeight="1">
      <x:c r="A30" s="40" t="str">
        <x:v>BE-18</x:v>
      </x:c>
      <x:c r="B30" s="28" t="str">
        <x:v>Phát hiện bạn ở gần</x:v>
      </x:c>
      <x:c r="C30" s="28" t="str">
        <x:v>-</x:v>
      </x:c>
      <x:c r="D30" s="28" t="str">
        <x:v>-</x:v>
      </x:c>
      <x:c r="E30" s="28" t="str">
        <x:v>-</x:v>
      </x:c>
      <x:c r="F30" s="28" t="n">
        <x:v>8</x:v>
      </x:c>
      <x:c r="G30" s="28" t="str">
        <x:v>Backend 2</x:v>
      </x:c>
      <x:c r="H30" s="28" t="str">
        <x:v>Kiểm tra opt-in, khoảng cách gần đúng, giới hạn 2 giờ</x:v>
      </x:c>
    </x:row>
    <x:row r="31" ht="15" hidden="0" customHeight="1">
      <x:c r="A31" s="40" t="str">
        <x:v>BE-19</x:v>
      </x:c>
      <x:c r="B31" s="28" t="str">
        <x:v>Quản trị tài khoản</x:v>
      </x:c>
      <x:c r="C31" s="28" t="str">
        <x:v>-</x:v>
      </x:c>
      <x:c r="D31" s="28" t="str">
        <x:v>-</x:v>
      </x:c>
      <x:c r="E31" s="28" t="str">
        <x:v>-</x:v>
      </x:c>
      <x:c r="F31" s="28" t="n">
        <x:v>4</x:v>
      </x:c>
      <x:c r="G31" s="28" t="str">
        <x:v>Backend 1</x:v>
      </x:c>
      <x:c r="H31" s="28" t="str">
        <x:v>Khóa/mở khóa tài khoản, audit log thao tác quản trị</x:v>
      </x:c>
    </x:row>
    <x:row r="32" ht="24" hidden="0" customHeight="1">
      <x:c r="A32" s="40" t="str">
        <x:v>BE-26</x:v>
      </x:c>
      <x:c r="B32" s="28" t="str">
        <x:v>Learning-to-rank và model lifecycle</x:v>
      </x:c>
      <x:c r="C32" s="28" t="str">
        <x:v>-</x:v>
      </x:c>
      <x:c r="D32" s="28" t="str">
        <x:v>-</x:v>
      </x:c>
      <x:c r="E32" s="28" t="str">
        <x:v>-</x:v>
      </x:c>
      <x:c r="F32" s="28" t="n">
        <x:v>13</x:v>
      </x:c>
      <x:c r="G32" s="28" t="str">
        <x:v>Backend 2</x:v>
      </x:c>
      <x:c r="H32" s="28" t="str">
        <x:v>LTRTrainer; ModelRegistry; ShadowRunner; offline gate và A/B theo meetup</x:v>
      </x:c>
    </x:row>
    <x:row r="33" ht="13.5" customHeight="1">
      <x:c r="A33" s="41"/>
      <x:c r="B33" s="41"/>
      <x:c r="C33" s="41"/>
      <x:c r="D33" s="41"/>
      <x:c r="E33" s="41"/>
      <x:c r="F33" s="41"/>
      <x:c r="G33" s="41"/>
      <x:c r="H33" s="41"/>
    </x:row>
    <x:row r="34" ht="15" hidden="0" customHeight="1">
      <x:c r="A34" s="42" t="str">
        <x:v>Tổng điểm BE</x:v>
      </x:c>
      <x:c r="B34" s="36" t="n">
        <x:f>SUM(F6:F32)</x:f>
        <x:v>227</x:v>
      </x:c>
      <x:c r="C34" s="23"/>
      <x:c r="D34" s="23"/>
      <x:c r="E34" s="23"/>
      <x:c r="F34" s="23"/>
      <x:c r="G34" s="23"/>
      <x:c r="H34" s="23"/>
    </x:row>
    <x:row r="35" ht="15" hidden="0" customHeight="1">
      <x:c r="A35" s="42" t="str">
        <x:v>Điểm Core</x:v>
      </x:c>
      <x:c r="B35" s="36" t="n">
        <x:f>SUMIF('Chức năng BE'!D6:D32,"Core",'Chức năng BE'!E6:E32)</x:f>
        <x:v>152</x:v>
      </x:c>
      <x:c r="C35" s="41"/>
      <x:c r="D35" s="41"/>
      <x:c r="E35" s="41"/>
      <x:c r="F35" s="41"/>
      <x:c r="G35" s="41"/>
      <x:c r="H35" s="41"/>
    </x:row>
    <x:row r="36" ht="15" hidden="0" customHeight="1">
      <x:c r="A36" s="42" t="str">
        <x:v>Điểm Planned</x:v>
      </x:c>
      <x:c r="B36" s="37" t="n">
        <x:f>SUMIF('Chức năng BE'!D6:D32,"Planned",'Chức năng BE'!E6:E32)</x:f>
        <x:v>75</x:v>
      </x:c>
      <x:c r="C36" s="43"/>
      <x:c r="D36" s="43"/>
      <x:c r="E36" s="43"/>
      <x:c r="F36" s="43"/>
      <x:c r="G36" s="43"/>
      <x:c r="H36" s="43"/>
    </x:row>
    <x:row r="37" ht="48" hidden="0" customHeight="1">
      <x:c r="A37" s="44" t="str">
        <x:v>Lưu ý</x:v>
      </x:c>
      <x:c r="B37" s="38" t="str">
        <x:v>Điểm là ước lượng để cân tải. Recommendation online, feedback/offline và LTR đều do Backend 2 triển khai; reviewer vẫn kiểm tra contract giao thoa.</x:v>
      </x:c>
      <x:c r="C37" s="41"/>
      <x:c r="D37" s="41"/>
      <x:c r="E37" s="41"/>
      <x:c r="F37" s="41"/>
      <x:c r="G37" s="41"/>
      <x:c r="H37" s="41"/>
    </x:row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2:H2"/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"/>
  <x:cols>
    <x:col min="1" max="1" width="12" customWidth="1"/>
    <x:col min="2" max="2" width="105" customWidth="1"/>
    <x:col min="3" max="26" width="8.630000114440918" customWidth="1"/>
  </x:cols>
  <x:sheetData>
    <x:row r="1" ht="13.5" customHeight="1"/>
    <x:row r="2" ht="18" hidden="0" customHeight="1">
      <x:c r="A2" s="60"/>
      <x:c r="B2" s="61" t="str">
        <x:v>Hướng dẫn dùng workbook Backend</x:v>
      </x:c>
    </x:row>
    <x:row r="3" ht="15" hidden="0" customHeight="1">
      <x:c r="A3" s="64"/>
      <x:c r="B3" s="65" t="str">
        <x:v>Dùng sheet Chức năng BE làm nguồn phân công chính.</x:v>
      </x:c>
    </x:row>
    <x:row r="4" ht="15" hidden="0" customHeight="1">
      <x:c r="A4" s="41"/>
      <x:c r="B4" s="41"/>
    </x:row>
    <x:row r="5" ht="15" hidden="0" customHeight="1">
      <x:c r="A5" s="22" t="s">
        <x:v>58</x:v>
      </x:c>
      <x:c r="B5" s="22" t="s">
        <x:v>59</x:v>
      </x:c>
    </x:row>
    <x:row r="6" ht="15" hidden="0" customHeight="1">
      <x:c r="A6" s="23" t="s">
        <x:v>60</x:v>
      </x:c>
      <x:c r="B6" s="23" t="s">
        <x:v>61</x:v>
      </x:c>
    </x:row>
    <x:row r="7" ht="15" hidden="0" customHeight="1">
      <x:c r="A7" s="23" t="s">
        <x:v>62</x:v>
      </x:c>
      <x:c r="B7" s="23" t="s">
        <x:v>63</x:v>
      </x:c>
    </x:row>
    <x:row r="8" ht="15" hidden="0" customHeight="1">
      <x:c r="A8" s="23" t="s">
        <x:v>64</x:v>
      </x:c>
      <x:c r="B8" s="23" t="s">
        <x:v>65</x:v>
      </x:c>
    </x:row>
    <x:row r="9" ht="15" hidden="0" customHeight="1">
      <x:c r="A9" s="23" t="s">
        <x:v>66</x:v>
      </x:c>
      <x:c r="B9" s="23" t="s">
        <x:v>67</x:v>
      </x:c>
    </x:row>
    <x:row r="10" ht="15" hidden="0" customHeight="1">
      <x:c r="A10" s="23" t="s">
        <x:v>68</x:v>
      </x:c>
      <x:c r="B10" s="23" t="s">
        <x:v>69</x:v>
      </x:c>
    </x:row>
    <x:row r="11" ht="15" hidden="0" customHeight="1">
      <x:c r="A11" s="23" t="s">
        <x:v>70</x:v>
      </x:c>
      <x:c r="B11" s="23" t="s">
        <x:v>71</x:v>
      </x:c>
    </x:row>
    <x:row r="12" ht="24" hidden="0" customHeight="1">
      <x:c r="A12" s="23" t="s">
        <x:v>72</x:v>
      </x:c>
      <x:c r="B12" s="23" t="s">
        <x:v>73</x:v>
      </x:c>
    </x:row>
    <x:row r="13" ht="15" hidden="0" customHeight="1">
      <x:c r="A13" s="23" t="str">
        <x:v>8</x:v>
      </x:c>
      <x:c r="B13" s="23" t="str">
        <x:v>Recommendation dùng ETA, preference và place quality. avoid là soft penalty; vote chỉ xảy ra sau khi đã trả kết quả.</x:v>
      </x:c>
    </x:row>
    <x:row r="14" ht="15" hidden="0" customHeight="1">
      <x:c r="A14" s="55" t="str">
        <x:v>9</x:v>
      </x:c>
      <x:c r="B14" s="55" t="str">
        <x:v>Mọi hạng mục triển khai recommendation engine từ online pipeline đến offline evaluation/LTR đều giao cho Backend 2.</x:v>
      </x:c>
    </x:row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pageMargins left="0.7" right="0.7" top="0.75" bottom="0.75" header="0.3" footer="0.3"/>
</x:worksheet>
</file>