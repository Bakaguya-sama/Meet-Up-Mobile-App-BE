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UIT\4th_year\Mobile\Project\Source\Meet-Up-Mobile-App-BE\docs\"/>
    </mc:Choice>
  </mc:AlternateContent>
  <xr:revisionPtr revIDLastSave="0" documentId="13_ncr:1_{F31E5D21-9A93-4433-9844-CBE55B1A932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ổng quan BE" sheetId="1" r:id="rId1"/>
    <sheet name="Chức năng BE" sheetId="2" r:id="rId2"/>
    <sheet name="Backlog BE" sheetId="3" r:id="rId3"/>
    <sheet name="Phân công BE" sheetId="4" r:id="rId4"/>
    <sheet name="Function Points BE" sheetId="5" r:id="rId5"/>
    <sheet name="Hướng dẫ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5" l="1"/>
  <c r="B29" i="5"/>
  <c r="B28" i="5"/>
  <c r="C7" i="4"/>
  <c r="C6" i="4"/>
  <c r="B11" i="1"/>
  <c r="B10" i="1"/>
  <c r="B9" i="1"/>
  <c r="B8" i="1"/>
  <c r="H7" i="1"/>
  <c r="E7" i="1"/>
  <c r="D7" i="1"/>
  <c r="B7" i="1"/>
  <c r="H6" i="1"/>
  <c r="E6" i="1"/>
  <c r="D6" i="1"/>
  <c r="B6" i="1"/>
  <c r="D7" i="4" l="1"/>
  <c r="G7" i="1" s="1"/>
  <c r="F7" i="1"/>
  <c r="D6" i="4"/>
  <c r="G6" i="1" s="1"/>
  <c r="F6" i="1"/>
</calcChain>
</file>

<file path=xl/sharedStrings.xml><?xml version="1.0" encoding="utf-8"?>
<sst xmlns="http://schemas.openxmlformats.org/spreadsheetml/2006/main" count="623" uniqueCount="219">
  <si>
    <t>MeetUp Backend - Phân công chức năng</t>
  </si>
  <si>
    <t>Workbook chỉ dành cho Backend. Phần Mobile được tách khỏi ước lượng và phân công này.</t>
  </si>
  <si>
    <t>Chỉ số</t>
  </si>
  <si>
    <t>Giá trị</t>
  </si>
  <si>
    <t>Thành viên</t>
  </si>
  <si>
    <t>Phụ trách chính</t>
  </si>
  <si>
    <t>Điểm BE</t>
  </si>
  <si>
    <t>Tỷ lệ</t>
  </si>
  <si>
    <t>Mảng chính</t>
  </si>
  <si>
    <t>Tổng điểm chức năng BE</t>
  </si>
  <si>
    <t>Chức năng Core</t>
  </si>
  <si>
    <t>Chức năng Planned</t>
  </si>
  <si>
    <t>Điểm Core</t>
  </si>
  <si>
    <t>Điểm Planned</t>
  </si>
  <si>
    <t>Số thành viên BE</t>
  </si>
  <si>
    <t>Sprint</t>
  </si>
  <si>
    <t>Mục tiêu Backend</t>
  </si>
  <si>
    <t>Chức năng chính</t>
  </si>
  <si>
    <t>Kết quả cần có</t>
  </si>
  <si>
    <t>S1</t>
  </si>
  <si>
    <t>Tài khoản và quan hệ</t>
  </si>
  <si>
    <t>BE-01 đến BE-03</t>
  </si>
  <si>
    <t>API có xác thực, test quyền cơ bản</t>
  </si>
  <si>
    <t>S2</t>
  </si>
  <si>
    <t>Privacy và nền tảng realtime</t>
  </si>
  <si>
    <t>BE-04 đến BE-07</t>
  </si>
  <si>
    <t>Socket/Redis đúng quyền, TTL và FCM platform hoạt động</t>
  </si>
  <si>
    <t>S3</t>
  </si>
  <si>
    <t>Meetup và nơi ứng viên</t>
  </si>
  <si>
    <t>BE-08, BE-09, BE-13</t>
  </si>
  <si>
    <t>Member lifecycle, preference, lưu mode, Places</t>
  </si>
  <si>
    <t>S4</t>
  </si>
  <si>
    <t>Recommendation và vote</t>
  </si>
  <si>
    <t>BE-10, BE-14, BE-15</t>
  </si>
  <si>
    <t>Exact/batch/cluster, điểm công bằng, VoteUpdated</t>
  </si>
  <si>
    <t>S5</t>
  </si>
  <si>
    <t>Chức năng đã cam kết</t>
  </si>
  <si>
    <t>BE-11, BE-12, BE-16, BE-20</t>
  </si>
  <si>
    <t>Chat, lịch sử, yêu thích, open-now</t>
  </si>
  <si>
    <t>S6–S7</t>
  </si>
  <si>
    <t>AI, nearby, quản trị, quan sát, kiểm thử</t>
  </si>
  <si>
    <t>BE-17 đến BE-19, BE-21</t>
  </si>
  <si>
    <t>AI fallback, privacy test, audit log, health check</t>
  </si>
  <si>
    <t>Nguyên tắc</t>
  </si>
  <si>
    <t>Áp dụng</t>
  </si>
  <si>
    <t>Không giới hạn meetup</t>
  </si>
  <si>
    <t>Số người tham gia không bị giới hạn; engine chọn exact, batch hoặc cluster.</t>
  </si>
  <si>
    <t>Nguồn sở thích</t>
  </si>
  <si>
    <t>MeetupMemberPreference ưu tiên; profile chỉ là dữ liệu điền sẵn.</t>
  </si>
  <si>
    <t>Không dùng giá</t>
  </si>
  <si>
    <t>Không có Budget filter, priceLevel hay PricePenalty trong recommendation.</t>
  </si>
  <si>
    <t>Review bắt buộc</t>
  </si>
  <si>
    <t>Mọi PR liên quan location, quyền, Socket, AI và Routes cần ít nhất một reviewer.</t>
  </si>
  <si>
    <t>Chức năng Backend để chia việc</t>
  </si>
  <si>
    <t>Mỗi dòng là một đơn vị giao việc. Người phụ trách chính chịu trách nhiệm code, test đơn vị và demo.</t>
  </si>
  <si>
    <t>Mã</t>
  </si>
  <si>
    <t>Chức năng Backend</t>
  </si>
  <si>
    <t>API / Event / Worker chính</t>
  </si>
  <si>
    <t>Phạm vi</t>
  </si>
  <si>
    <t>Phụ trách</t>
  </si>
  <si>
    <t>Reviewer</t>
  </si>
  <si>
    <t>Phụ thuộc</t>
  </si>
  <si>
    <t>Tiêu chí hoàn thành</t>
  </si>
  <si>
    <t>BE-01</t>
  </si>
  <si>
    <t>Xác thực và phiên đăng nhập</t>
  </si>
  <si>
    <t>Đăng ký, đăng nhập, đăng xuất, làm mới token, Google OAuth</t>
  </si>
  <si>
    <t>Core</t>
  </si>
  <si>
    <t>Backend 1</t>
  </si>
  <si>
    <t>Backend 2</t>
  </si>
  <si>
    <t>-</t>
  </si>
  <si>
    <t>JWT/refresh token hợp lệ; tài khoản bị khóa không đăng nhập được</t>
  </si>
  <si>
    <t>BE-02</t>
  </si>
  <si>
    <t>Hồ sơ và sở thích profile</t>
  </si>
  <si>
    <t>Cập nhật profile; lưu UserPreference làm dữ liệu điền sẵn</t>
  </si>
  <si>
    <t>Profile không thay thế preference tạm thời của meetup</t>
  </si>
  <si>
    <t>BE-03</t>
  </si>
  <si>
    <t>Kết bạn</t>
  </si>
  <si>
    <t>Tìm kiếm, gửi, chấp nhận, từ chối lời mời bạn bè</t>
  </si>
  <si>
    <t>Không tạo lời mời trùng hoặc tự kết bạn</t>
  </si>
  <si>
    <t>BE-04</t>
  </si>
  <si>
    <t>Quyền riêng tư vị trí</t>
  </si>
  <si>
    <t>Thiết lập chế độ chia sẻ, thời hạn, vị trí gần đúng; kiểm tra quyền</t>
  </si>
  <si>
    <t>Backend kiểm tra quyền trong mọi yêu cầu vị trí</t>
  </si>
  <si>
    <t>BE-05</t>
  </si>
  <si>
    <t>Nhận và lưu vị trí realtime</t>
  </si>
  <si>
    <t>Nhận location:update, kiểm quyền, cập nhật latest location/Redis TTL, phát LocationUpdated</t>
  </si>
  <si>
    <t>Không phát vị trí trái quyền; TTL 5 phút</t>
  </si>
  <si>
    <t>BE-06</t>
  </si>
  <si>
    <t>Nền tảng Socket và presence</t>
  </si>
  <si>
    <t>Kết nối/xác thực Socket, room, presence và phát domain event</t>
  </si>
  <si>
    <t>Chỉ kết nối hợp lệ; module nghiệp vụ dùng chung kênh event</t>
  </si>
  <si>
    <t>BE-07</t>
  </si>
  <si>
    <t>Thiết bị và nền tảng FCM</t>
  </si>
  <si>
    <t>Lưu FCM token, hàm gửi chung, worker gửi và log kết quả</t>
  </si>
  <si>
    <t>Hàm gửi độc lập với nghiệp vụ; token được quản lý an toàn</t>
  </si>
  <si>
    <t>BE-08</t>
  </si>
  <si>
    <t>Vòng đời Meetup và thành viên</t>
  </si>
  <si>
    <t>Tạo, sửa, hủy, mời, accept/reject, leave/remove, trạng thái, lưu recommendationMode</t>
  </si>
  <si>
    <t>Không giới hạn thành viên; chỉ người tạo đổi mode</t>
  </si>
  <si>
    <t>BE-09</t>
  </si>
  <si>
    <t>Sở thích tạm thời meetup</t>
  </si>
  <si>
    <t>Lưu MeetupMemberPreference: high, normal, avoid, profile_fallback</t>
  </si>
  <si>
    <t>BE-02, BE-08</t>
  </si>
  <si>
    <t>Preference meetup ưu tiên hơn profile</t>
  </si>
  <si>
    <t>BE-10</t>
  </si>
  <si>
    <t>Vote và chốt địa điểm</t>
  </si>
  <si>
    <t>Luật một vote/người, đổi vote, hết hạn, chốt; phát VoteUpdated</t>
  </si>
  <si>
    <t>BE-06, BE-08, BE-15</t>
  </si>
  <si>
    <t>Cập nhật realtime, không vote sau khi chốt</t>
  </si>
  <si>
    <t>BE-11</t>
  </si>
  <si>
    <t>Chat trong meetup</t>
  </si>
  <si>
    <t>Gửi/đọc tin nhắn; phân quyền theo thành viên meetup</t>
  </si>
  <si>
    <t>Planned</t>
  </si>
  <si>
    <t>BE-06, BE-08</t>
  </si>
  <si>
    <t>Người ngoài meetup bị từ chối truy cập</t>
  </si>
  <si>
    <t>BE-12</t>
  </si>
  <si>
    <t>Lịch sử meetup</t>
  </si>
  <si>
    <t>Lưu meetup đã kết thúc và dữ liệu hiển thị lịch sử</t>
  </si>
  <si>
    <t>BE-08, BE-10</t>
  </si>
  <si>
    <t>Không lưu lịch sử GPS hoặc tuyến đường</t>
  </si>
  <si>
    <t>BE-13</t>
  </si>
  <si>
    <t>Lấy địa điểm ứng viên</t>
  </si>
  <si>
    <t>Gọi Google Places theo loại, bán kính, giờ mở cửa</t>
  </si>
  <si>
    <t>Chỉ dùng dữ liệu cần thiết; không dùng priceLevel</t>
  </si>
  <si>
    <t>BE-14</t>
  </si>
  <si>
    <t>ETA theo quy mô</t>
  </si>
  <si>
    <t>Gọi Routes Matrix theo exact, batch hoặc cluster</t>
  </si>
  <si>
    <t>BE-05, BE-13</t>
  </si>
  <si>
    <t>≤20 exact; 21–50 batch; &gt;50 cluster có nhãn</t>
  </si>
  <si>
    <t>BE-15</t>
  </si>
  <si>
    <t>Xếp hạng và recommendationMode</t>
  </si>
  <si>
    <t>Tính Avg ETA, Max ETA, preference và trọng số của 4 mode</t>
  </si>
  <si>
    <t>BE-09, BE-14</t>
  </si>
  <si>
    <t>Mode chỉ đổi trọng số; không dùng Budget filter/PricePenalty</t>
  </si>
  <si>
    <t>BE-16</t>
  </si>
  <si>
    <t>Lọc đang mở cửa</t>
  </si>
  <si>
    <t>Lọc theo dữ liệu giờ mở cửa từ Places</t>
  </si>
  <si>
    <t>Thiếu dữ liệu thì hiện chưa có dữ liệu</t>
  </si>
  <si>
    <t>BE-17</t>
  </si>
  <si>
    <t>AI giải thích gợi ý</t>
  </si>
  <si>
    <t>Tạo payload tổng hợp, gọi AI, kiểm tra JSON, fallback theo rule</t>
  </si>
  <si>
    <t>S6</t>
  </si>
  <si>
    <t>Không gửi tọa độ, tên thật hoặc lịch sử GPS</t>
  </si>
  <si>
    <t>BE-18</t>
  </si>
  <si>
    <t>Phát hiện bạn ở gần</t>
  </si>
  <si>
    <t>Kiểm tra opt-in, khoảng cách gần đúng, giới hạn 2 giờ</t>
  </si>
  <si>
    <t>BE-04, BE-05, BE-07</t>
  </si>
  <si>
    <t>Cả hai phải bật; notification không có tọa độ</t>
  </si>
  <si>
    <t>BE-19</t>
  </si>
  <si>
    <t>Quản trị tài khoản</t>
  </si>
  <si>
    <t>Khóa/mở khóa tài khoản, audit log thao tác quản trị</t>
  </si>
  <si>
    <t>S7</t>
  </si>
  <si>
    <t>Có audit log; không chứa tọa độ chính xác</t>
  </si>
  <si>
    <t>BE-20</t>
  </si>
  <si>
    <t>Địa điểm yêu thích</t>
  </si>
  <si>
    <t>Thêm/xóa FavoritePlace theo Place ID; chống trùng</t>
  </si>
  <si>
    <t>BE-08, BE-13</t>
  </si>
  <si>
    <t>Không lưu tuyến đường; xử lý Place ID không hợp lệ</t>
  </si>
  <si>
    <t>BE-21</t>
  </si>
  <si>
    <t>Quan sát hệ thống</t>
  </si>
  <si>
    <t>Health check, metric độ trễ/lỗi, log không nhạy cảm</t>
  </si>
  <si>
    <t>BE-05, BE-06, BE-14, BE-15</t>
  </si>
  <si>
    <t>Theo dõi được lỗi/độ trễ; không log tọa độ, token hay payload AI</t>
  </si>
  <si>
    <t>Backlog Backend theo sprint</t>
  </si>
  <si>
    <t>Đưa hạng mục sang Đang làm khi người phụ trách đã thống nhất API, dữ liệu và điều kiện hoàn thành.</t>
  </si>
  <si>
    <t>Hạng mục Backend</t>
  </si>
  <si>
    <t>Điểm</t>
  </si>
  <si>
    <t>Trạng thái</t>
  </si>
  <si>
    <t>Ghi chú</t>
  </si>
  <si>
    <t>Sẵn sàng</t>
  </si>
  <si>
    <t>Phân công Backend</t>
  </si>
  <si>
    <t>Thay “Thành viên 1–4” bằng tên thật. Tổng điểm được lấy trực tiếp từ sheet Chức năng BE.</t>
  </si>
  <si>
    <t>Vai trò Backend</t>
  </si>
  <si>
    <t>Tài khoản, privacy và nghiệp vụ meetup</t>
  </si>
  <si>
    <t>Auth, profile, friendship, privacy, meetup, preference, vote, chat, history, favorite, quản trị</t>
  </si>
  <si>
    <t>Realtime, recommendation và tích hợp ngoài</t>
  </si>
  <si>
    <t>Vị trí, Socket, FCM, Places, Routes, xếp hạng, AI, nearby, quan sát hệ thống</t>
  </si>
  <si>
    <t>Luồng nghiệp vụ, quyền và state meetup</t>
  </si>
  <si>
    <t>Mỗi Backend chịu code, test đơn vị, cập nhật API contract và demo chức năng của mình.</t>
  </si>
  <si>
    <t>Người Backend còn lại review mọi PR. Các thay đổi giao thoa phải chốt DTO/event trước.</t>
  </si>
  <si>
    <t>Chức năng giao thoa</t>
  </si>
  <si>
    <t>BE-05/06/08/09/10/14/15 cần chốt event và DTO trước khi lập trình song song.</t>
  </si>
  <si>
    <t>Bảo mật</t>
  </si>
  <si>
    <t>Không ghi log tọa độ chính xác, token hoặc payload AI có dữ liệu nhạy cảm.</t>
  </si>
  <si>
    <t>Sở thích</t>
  </si>
  <si>
    <t>Profile chỉ prefill; ưu tiên MeetupMemberPreference trong engine.</t>
  </si>
  <si>
    <t>Tải lớn</t>
  </si>
  <si>
    <t>Route Matrix chạy exact/batch/cluster theo quy mô meetup.</t>
  </si>
  <si>
    <t>Function Points Backend</t>
  </si>
  <si>
    <t>Ước lượng chức năng phía Backend để chia việc, không phải số giờ công và không bao gồm UI Mobile.</t>
  </si>
  <si>
    <t>EI</t>
  </si>
  <si>
    <t>EO/EQ</t>
  </si>
  <si>
    <t>ILF/EIF</t>
  </si>
  <si>
    <t>Cách hiểu</t>
  </si>
  <si>
    <t>Tổng điểm BE</t>
  </si>
  <si>
    <t>Lưu ý</t>
  </si>
  <si>
    <t>Điểm là ước lượng để cân tải. Kiểm thử tích hợp, CI/CD và sửa lỗi được phân bổ theo reviewer.</t>
  </si>
  <si>
    <t>Hướng dẫn dùng workbook Backend</t>
  </si>
  <si>
    <t>Dùng sheet Chức năng BE làm nguồn phân công chính.</t>
  </si>
  <si>
    <t>Bước</t>
  </si>
  <si>
    <t>Việc cần làm</t>
  </si>
  <si>
    <t>1</t>
  </si>
  <si>
    <t>Đổi tên Backend 1 và Backend 2 trong sheet Phân công BE và Chức năng BE.</t>
  </si>
  <si>
    <t>2</t>
  </si>
  <si>
    <t>Mỗi sprint, lọc sheet Backlog BE theo Sprint và Phụ trách.</t>
  </si>
  <si>
    <t>3</t>
  </si>
  <si>
    <t>Không nhận một dòng chức năng khi chưa rõ API/Event/Worker, dữ liệu và tiêu chí hoàn thành.</t>
  </si>
  <si>
    <t>4</t>
  </si>
  <si>
    <t>Core làm trước Planned. Chức năng Planned không được làm chậm realtime, privacy hoặc recommendation.</t>
  </si>
  <si>
    <t>5</t>
  </si>
  <si>
    <t>Với PR liên quan giữa hai mảng, mời người Backend còn lại review theo cột Reviewer.</t>
  </si>
  <si>
    <t>6</t>
  </si>
  <si>
    <t>Nếu phạm vi thay đổi, sửa Điểm BE tại sheet Chức năng BE; tổng và tỷ lệ tự cập nhật.</t>
  </si>
  <si>
    <t>7</t>
  </si>
  <si>
    <t>Chốt DTO/event trước khi làm song song: LocationUpdated, MeetupMemberChanged, PreferenceUpdated, RecommendationReady, VoteUpdated, MeetupFinalized.</t>
  </si>
  <si>
    <t>8</t>
  </si>
  <si>
    <t>Không thêm Budget filter hoặc PricePenalty. Gợi ý dùng ETA, preference, giờ mở cửa, rating và vote.</t>
  </si>
  <si>
    <t>Profile và sở thích</t>
  </si>
  <si>
    <t>Sở thích tạm thời meetup (hệ thống hỏi trước khi gợi ý địa điểm)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</si>
</sst>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name val="Arial"/>
    </font>
    <font>
      <i/>
      <sz val="10"/>
      <color rgb="FF404040"/>
      <name val="Arial"/>
    </font>
    <font>
      <b/>
      <sz val="11"/>
      <color rgb="FFFFFFFF"/>
      <name val="Arial"/>
    </font>
    <font>
      <b/>
      <sz val="11"/>
      <name val="Arial"/>
    </font>
    <font>
      <sz val="10"/>
      <name val="Arial"/>
    </font>
    <font>
      <sz val="11"/>
      <name val="Arial"/>
    </font>
    <font>
      <b/>
      <sz val="10"/>
      <color rgb="FFFFFFFF"/>
      <name val="Arial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7FB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1F4E78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4" fillId="3" borderId="0" xfId="0" applyFont="1" applyFill="1"/>
    <xf numFmtId="0" fontId="4" fillId="4" borderId="0" xfId="0" applyFont="1" applyFill="1" applyAlignment="1">
      <alignment horizontal="center"/>
    </xf>
    <xf numFmtId="0" fontId="5" fillId="0" borderId="0" xfId="0" applyFont="1" applyAlignment="1">
      <alignment vertical="center" wrapText="1"/>
    </xf>
    <xf numFmtId="164" fontId="5" fillId="0" borderId="0" xfId="0" applyNumberFormat="1" applyFont="1" applyAlignment="1">
      <alignment vertical="center" wrapText="1"/>
    </xf>
    <xf numFmtId="0" fontId="4" fillId="5" borderId="0" xfId="0" applyFont="1" applyFill="1"/>
    <xf numFmtId="0" fontId="4" fillId="6" borderId="0" xfId="0" applyFont="1" applyFill="1"/>
    <xf numFmtId="0" fontId="6" fillId="0" borderId="0" xfId="0" applyFont="1" applyAlignment="1">
      <alignment wrapText="1"/>
    </xf>
    <xf numFmtId="0" fontId="7" fillId="7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4" fillId="8" borderId="0" xfId="0" applyFont="1" applyFill="1" applyAlignment="1">
      <alignment vertical="top"/>
    </xf>
    <xf numFmtId="0" fontId="1" fillId="0" borderId="0" xfId="0" applyFont="1"/>
    <xf numFmtId="0" fontId="0" fillId="0" borderId="0" xfId="0"/>
    <xf numFmtId="0" fontId="2" fillId="0" borderId="0" xfId="0" applyFont="1"/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wrapText="1"/>
    </xf>
  </cellXfs>
  <cellStyles count="1">
    <cellStyle name="Normal" xfId="0" builtinId="0"/>
  </cellStyles>
  <dxfs count="4">
    <dxf>
      <font>
        <b/>
        <color rgb="FF006100"/>
      </font>
      <fill>
        <patternFill>
          <bgColor rgb="FFE2F0D9"/>
        </patternFill>
      </fill>
    </dxf>
    <dxf>
      <font>
        <b/>
        <color rgb="FF17365D"/>
      </font>
      <fill>
        <patternFill>
          <bgColor rgb="FFD9EAF7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17365D"/>
      </font>
      <fill>
        <patternFill>
          <bgColor rgb="FFD9EAF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7"/>
  <sheetViews>
    <sheetView topLeftCell="A6" workbookViewId="0"/>
  </sheetViews>
  <sheetFormatPr defaultRowHeight="13.8"/>
  <cols>
    <col min="1" max="1" width="25" customWidth="1"/>
    <col min="2" max="2" width="22" customWidth="1"/>
    <col min="3" max="3" width="18" customWidth="1"/>
    <col min="4" max="4" width="20" customWidth="1"/>
    <col min="5" max="5" width="24" customWidth="1"/>
    <col min="6" max="7" width="14" customWidth="1"/>
    <col min="8" max="8" width="37" customWidth="1"/>
  </cols>
  <sheetData>
    <row r="2" spans="1:8" ht="19.2">
      <c r="A2" s="12" t="s">
        <v>0</v>
      </c>
      <c r="B2" s="13"/>
      <c r="C2" s="13"/>
      <c r="D2" s="13"/>
      <c r="E2" s="13"/>
      <c r="F2" s="13"/>
      <c r="G2" s="13"/>
      <c r="H2" s="13"/>
    </row>
    <row r="3" spans="1:8">
      <c r="A3" s="14" t="s">
        <v>1</v>
      </c>
      <c r="B3" s="13"/>
      <c r="C3" s="13"/>
      <c r="D3" s="13"/>
      <c r="E3" s="13"/>
      <c r="F3" s="13"/>
      <c r="G3" s="13"/>
      <c r="H3" s="13"/>
    </row>
    <row r="5" spans="1:8">
      <c r="A5" s="1" t="s">
        <v>2</v>
      </c>
      <c r="B5" s="1" t="s">
        <v>3</v>
      </c>
      <c r="D5" s="1" t="s">
        <v>4</v>
      </c>
      <c r="E5" s="1" t="s">
        <v>5</v>
      </c>
      <c r="F5" s="1" t="s">
        <v>6</v>
      </c>
      <c r="G5" s="1" t="s">
        <v>7</v>
      </c>
      <c r="H5" s="1" t="s">
        <v>8</v>
      </c>
    </row>
    <row r="6" spans="1:8" ht="26.4">
      <c r="A6" s="2" t="s">
        <v>9</v>
      </c>
      <c r="B6" s="3">
        <f>SUM('Chức năng BE'!E6:E26)</f>
        <v>155</v>
      </c>
      <c r="D6" s="4" t="str">
        <f>'Phân công BE'!A6</f>
        <v>Backend 1</v>
      </c>
      <c r="E6" s="4" t="str">
        <f>'Phân công BE'!B6</f>
        <v>Tài khoản, privacy và nghiệp vụ meetup</v>
      </c>
      <c r="F6" s="4">
        <f>'Phân công BE'!C6</f>
        <v>72</v>
      </c>
      <c r="G6" s="5">
        <f>'Phân công BE'!D6</f>
        <v>0.46451612903225808</v>
      </c>
      <c r="H6" s="4" t="str">
        <f>'Phân công BE'!E6</f>
        <v>Auth, profile, friendship, privacy, meetup, preference, vote, chat, history, favorite, quản trị</v>
      </c>
    </row>
    <row r="7" spans="1:8" ht="26.4">
      <c r="A7" s="2" t="s">
        <v>10</v>
      </c>
      <c r="B7" s="3">
        <f>COUNTIF('Chức năng BE'!D6:D26,"Core")</f>
        <v>13</v>
      </c>
      <c r="D7" s="4" t="str">
        <f>'Phân công BE'!A7</f>
        <v>Backend 2</v>
      </c>
      <c r="E7" s="4" t="str">
        <f>'Phân công BE'!B7</f>
        <v>Realtime, recommendation và tích hợp ngoài</v>
      </c>
      <c r="F7" s="4">
        <f>'Phân công BE'!C7</f>
        <v>83</v>
      </c>
      <c r="G7" s="5">
        <f>'Phân công BE'!D7</f>
        <v>0.53548387096774197</v>
      </c>
      <c r="H7" s="4" t="str">
        <f>'Phân công BE'!E7</f>
        <v>Vị trí, Socket, FCM, Places, Routes, xếp hạng, AI, nearby, quan sát hệ thống</v>
      </c>
    </row>
    <row r="8" spans="1:8">
      <c r="A8" s="2" t="s">
        <v>11</v>
      </c>
      <c r="B8" s="3">
        <f>COUNTIF('Chức năng BE'!D6:D26,"Planned")</f>
        <v>8</v>
      </c>
      <c r="D8" s="4"/>
      <c r="E8" s="4"/>
      <c r="F8" s="4"/>
      <c r="G8" s="5"/>
      <c r="H8" s="4"/>
    </row>
    <row r="9" spans="1:8">
      <c r="A9" s="2" t="s">
        <v>12</v>
      </c>
      <c r="B9" s="3">
        <f>SUMIF('Chức năng BE'!D6:D26,"Core",'Chức năng BE'!E6:E26)</f>
        <v>115</v>
      </c>
      <c r="D9" s="4"/>
      <c r="E9" s="4"/>
      <c r="F9" s="4"/>
      <c r="G9" s="5"/>
      <c r="H9" s="4"/>
    </row>
    <row r="10" spans="1:8">
      <c r="A10" s="2" t="s">
        <v>13</v>
      </c>
      <c r="B10" s="3">
        <f>SUMIF('Chức năng BE'!D6:D26,"Planned",'Chức năng BE'!E6:E26)</f>
        <v>40</v>
      </c>
    </row>
    <row r="11" spans="1:8">
      <c r="A11" s="2" t="s">
        <v>14</v>
      </c>
      <c r="B11" s="3">
        <f>COUNTA('Phân công BE'!A6:A7)</f>
        <v>2</v>
      </c>
    </row>
    <row r="14" spans="1:8">
      <c r="A14" s="1" t="s">
        <v>15</v>
      </c>
      <c r="B14" s="1" t="s">
        <v>16</v>
      </c>
      <c r="C14" s="1" t="s">
        <v>17</v>
      </c>
      <c r="D14" s="1" t="s">
        <v>18</v>
      </c>
    </row>
    <row r="15" spans="1:8" ht="26.4">
      <c r="A15" s="4" t="s">
        <v>19</v>
      </c>
      <c r="B15" s="4" t="s">
        <v>20</v>
      </c>
      <c r="C15" s="4" t="s">
        <v>21</v>
      </c>
      <c r="D15" s="4" t="s">
        <v>22</v>
      </c>
    </row>
    <row r="16" spans="1:8" ht="39.6">
      <c r="A16" s="4" t="s">
        <v>23</v>
      </c>
      <c r="B16" s="4" t="s">
        <v>24</v>
      </c>
      <c r="C16" s="4" t="s">
        <v>25</v>
      </c>
      <c r="D16" s="4" t="s">
        <v>26</v>
      </c>
    </row>
    <row r="17" spans="1:8" ht="39.6">
      <c r="A17" s="4" t="s">
        <v>27</v>
      </c>
      <c r="B17" s="4" t="s">
        <v>28</v>
      </c>
      <c r="C17" s="4" t="s">
        <v>29</v>
      </c>
      <c r="D17" s="4" t="s">
        <v>30</v>
      </c>
    </row>
    <row r="18" spans="1:8" ht="26.4">
      <c r="A18" s="4" t="s">
        <v>31</v>
      </c>
      <c r="B18" s="4" t="s">
        <v>32</v>
      </c>
      <c r="C18" s="4" t="s">
        <v>33</v>
      </c>
      <c r="D18" s="4" t="s">
        <v>34</v>
      </c>
    </row>
    <row r="19" spans="1:8" ht="26.4">
      <c r="A19" s="4" t="s">
        <v>35</v>
      </c>
      <c r="B19" s="4" t="s">
        <v>36</v>
      </c>
      <c r="C19" s="4" t="s">
        <v>37</v>
      </c>
      <c r="D19" s="4" t="s">
        <v>38</v>
      </c>
    </row>
    <row r="20" spans="1:8" ht="26.4">
      <c r="A20" s="4" t="s">
        <v>39</v>
      </c>
      <c r="B20" s="4" t="s">
        <v>40</v>
      </c>
      <c r="C20" s="4" t="s">
        <v>41</v>
      </c>
      <c r="D20" s="4" t="s">
        <v>42</v>
      </c>
    </row>
    <row r="23" spans="1:8">
      <c r="A23" s="6" t="s">
        <v>43</v>
      </c>
      <c r="B23" s="15" t="s">
        <v>44</v>
      </c>
      <c r="C23" s="15"/>
      <c r="D23" s="15"/>
      <c r="E23" s="15"/>
      <c r="F23" s="15"/>
      <c r="G23" s="15"/>
      <c r="H23" s="15"/>
    </row>
    <row r="24" spans="1:8">
      <c r="A24" s="6" t="s">
        <v>45</v>
      </c>
      <c r="B24" s="15" t="s">
        <v>46</v>
      </c>
      <c r="C24" s="15"/>
      <c r="D24" s="15"/>
      <c r="E24" s="15"/>
      <c r="F24" s="15"/>
      <c r="G24" s="15"/>
      <c r="H24" s="15"/>
    </row>
    <row r="25" spans="1:8">
      <c r="A25" s="6" t="s">
        <v>47</v>
      </c>
      <c r="B25" s="15" t="s">
        <v>48</v>
      </c>
      <c r="C25" s="15"/>
      <c r="D25" s="15"/>
      <c r="E25" s="15"/>
      <c r="F25" s="15"/>
      <c r="G25" s="15"/>
      <c r="H25" s="15"/>
    </row>
    <row r="26" spans="1:8">
      <c r="A26" s="6" t="s">
        <v>49</v>
      </c>
      <c r="B26" s="15" t="s">
        <v>50</v>
      </c>
      <c r="C26" s="15"/>
      <c r="D26" s="15"/>
      <c r="E26" s="15"/>
      <c r="F26" s="15"/>
      <c r="G26" s="15"/>
      <c r="H26" s="15"/>
    </row>
    <row r="27" spans="1:8">
      <c r="A27" s="6" t="s">
        <v>51</v>
      </c>
      <c r="B27" s="15" t="s">
        <v>52</v>
      </c>
      <c r="C27" s="15"/>
      <c r="D27" s="15"/>
      <c r="E27" s="15"/>
      <c r="F27" s="15"/>
      <c r="G27" s="15"/>
      <c r="H27" s="15"/>
    </row>
  </sheetData>
  <mergeCells count="7">
    <mergeCell ref="B26:H26"/>
    <mergeCell ref="B27:H27"/>
    <mergeCell ref="A2:H2"/>
    <mergeCell ref="A3:H3"/>
    <mergeCell ref="B23:H23"/>
    <mergeCell ref="B24:H24"/>
    <mergeCell ref="B25:H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26"/>
  <sheetViews>
    <sheetView tabSelected="1" workbookViewId="0">
      <pane ySplit="5" topLeftCell="A6" activePane="bottomLeft" state="frozen"/>
      <selection pane="bottomLeft" activeCell="C26" sqref="C26"/>
    </sheetView>
  </sheetViews>
  <sheetFormatPr defaultRowHeight="13.8"/>
  <cols>
    <col min="1" max="1" width="10" customWidth="1"/>
    <col min="2" max="2" width="28" customWidth="1"/>
    <col min="3" max="3" width="42" customWidth="1"/>
    <col min="4" max="4" width="12" customWidth="1"/>
    <col min="5" max="5" width="11" customWidth="1"/>
    <col min="6" max="6" width="17" customWidth="1"/>
    <col min="7" max="7" width="10" customWidth="1"/>
    <col min="8" max="8" width="18" customWidth="1"/>
    <col min="9" max="9" width="45" customWidth="1"/>
  </cols>
  <sheetData>
    <row r="2" spans="1:9" ht="19.2">
      <c r="A2" s="12" t="s">
        <v>53</v>
      </c>
      <c r="B2" s="13"/>
      <c r="C2" s="13"/>
      <c r="D2" s="13"/>
      <c r="E2" s="13"/>
      <c r="F2" s="13"/>
      <c r="G2" s="13"/>
      <c r="H2" s="13"/>
      <c r="I2" s="13"/>
    </row>
    <row r="3" spans="1:9">
      <c r="A3" s="14" t="s">
        <v>54</v>
      </c>
      <c r="B3" s="13"/>
      <c r="C3" s="13"/>
      <c r="D3" s="13"/>
      <c r="E3" s="13"/>
      <c r="F3" s="13"/>
      <c r="G3" s="13"/>
      <c r="H3" s="13"/>
      <c r="I3" s="13"/>
    </row>
    <row r="5" spans="1:9">
      <c r="A5" s="1" t="s">
        <v>55</v>
      </c>
      <c r="B5" s="1" t="s">
        <v>56</v>
      </c>
      <c r="C5" s="1" t="s">
        <v>57</v>
      </c>
      <c r="D5" s="1" t="s">
        <v>58</v>
      </c>
      <c r="E5" s="1" t="s">
        <v>6</v>
      </c>
      <c r="F5" s="1" t="s">
        <v>59</v>
      </c>
      <c r="G5" s="1" t="s">
        <v>15</v>
      </c>
      <c r="H5" s="1" t="s">
        <v>61</v>
      </c>
      <c r="I5" s="1" t="s">
        <v>62</v>
      </c>
    </row>
    <row r="6" spans="1:9" ht="26.4">
      <c r="A6" s="4" t="s">
        <v>63</v>
      </c>
      <c r="B6" s="4" t="s">
        <v>64</v>
      </c>
      <c r="C6" s="4" t="s">
        <v>65</v>
      </c>
      <c r="D6" s="4" t="s">
        <v>66</v>
      </c>
      <c r="E6" s="4">
        <v>8</v>
      </c>
      <c r="F6" s="4" t="s">
        <v>67</v>
      </c>
      <c r="G6" s="4" t="s">
        <v>19</v>
      </c>
      <c r="H6" s="4" t="s">
        <v>69</v>
      </c>
      <c r="I6" s="4" t="s">
        <v>70</v>
      </c>
    </row>
    <row r="7" spans="1:9" ht="26.4">
      <c r="A7" s="4" t="s">
        <v>71</v>
      </c>
      <c r="B7" s="4" t="s">
        <v>72</v>
      </c>
      <c r="C7" s="4" t="s">
        <v>73</v>
      </c>
      <c r="D7" s="4" t="s">
        <v>66</v>
      </c>
      <c r="E7" s="4">
        <v>5</v>
      </c>
      <c r="F7" s="4" t="s">
        <v>67</v>
      </c>
      <c r="G7" s="4" t="s">
        <v>19</v>
      </c>
      <c r="H7" s="4" t="s">
        <v>63</v>
      </c>
      <c r="I7" s="4" t="s">
        <v>74</v>
      </c>
    </row>
    <row r="8" spans="1:9">
      <c r="A8" s="4" t="s">
        <v>75</v>
      </c>
      <c r="B8" s="4" t="s">
        <v>76</v>
      </c>
      <c r="C8" s="4" t="s">
        <v>77</v>
      </c>
      <c r="D8" s="4" t="s">
        <v>66</v>
      </c>
      <c r="E8" s="4">
        <v>8</v>
      </c>
      <c r="F8" s="4" t="s">
        <v>67</v>
      </c>
      <c r="G8" s="4" t="s">
        <v>19</v>
      </c>
      <c r="H8" s="4" t="s">
        <v>63</v>
      </c>
      <c r="I8" s="4" t="s">
        <v>78</v>
      </c>
    </row>
    <row r="9" spans="1:9" ht="26.4">
      <c r="A9" s="4" t="s">
        <v>79</v>
      </c>
      <c r="B9" s="4" t="s">
        <v>80</v>
      </c>
      <c r="C9" s="4" t="s">
        <v>81</v>
      </c>
      <c r="D9" s="4" t="s">
        <v>66</v>
      </c>
      <c r="E9" s="4">
        <v>5</v>
      </c>
      <c r="F9" s="4" t="s">
        <v>67</v>
      </c>
      <c r="G9" s="4" t="s">
        <v>23</v>
      </c>
      <c r="H9" s="4" t="s">
        <v>63</v>
      </c>
      <c r="I9" s="4" t="s">
        <v>82</v>
      </c>
    </row>
    <row r="10" spans="1:9" ht="26.4">
      <c r="A10" s="4" t="s">
        <v>83</v>
      </c>
      <c r="B10" s="4" t="s">
        <v>84</v>
      </c>
      <c r="C10" s="4" t="s">
        <v>85</v>
      </c>
      <c r="D10" s="4" t="s">
        <v>66</v>
      </c>
      <c r="E10" s="4">
        <v>13</v>
      </c>
      <c r="F10" s="4" t="s">
        <v>68</v>
      </c>
      <c r="G10" s="4" t="s">
        <v>23</v>
      </c>
      <c r="H10" s="4" t="s">
        <v>79</v>
      </c>
      <c r="I10" s="4" t="s">
        <v>86</v>
      </c>
    </row>
    <row r="11" spans="1:9" ht="26.4">
      <c r="A11" s="4" t="s">
        <v>87</v>
      </c>
      <c r="B11" s="4" t="s">
        <v>88</v>
      </c>
      <c r="C11" s="4" t="s">
        <v>89</v>
      </c>
      <c r="D11" s="4" t="s">
        <v>66</v>
      </c>
      <c r="E11" s="4">
        <v>8</v>
      </c>
      <c r="F11" s="4" t="s">
        <v>68</v>
      </c>
      <c r="G11" s="4" t="s">
        <v>23</v>
      </c>
      <c r="H11" s="4" t="s">
        <v>63</v>
      </c>
      <c r="I11" s="4" t="s">
        <v>90</v>
      </c>
    </row>
    <row r="12" spans="1:9" ht="26.4">
      <c r="A12" s="4" t="s">
        <v>91</v>
      </c>
      <c r="B12" s="4" t="s">
        <v>92</v>
      </c>
      <c r="C12" s="4" t="s">
        <v>93</v>
      </c>
      <c r="D12" s="4" t="s">
        <v>66</v>
      </c>
      <c r="E12" s="4">
        <v>5</v>
      </c>
      <c r="F12" s="4" t="s">
        <v>68</v>
      </c>
      <c r="G12" s="4" t="s">
        <v>23</v>
      </c>
      <c r="H12" s="4" t="s">
        <v>63</v>
      </c>
      <c r="I12" s="4" t="s">
        <v>94</v>
      </c>
    </row>
    <row r="13" spans="1:9" ht="26.4">
      <c r="A13" s="4" t="s">
        <v>95</v>
      </c>
      <c r="B13" s="4" t="s">
        <v>96</v>
      </c>
      <c r="C13" s="4" t="s">
        <v>97</v>
      </c>
      <c r="D13" s="4" t="s">
        <v>66</v>
      </c>
      <c r="E13" s="4">
        <v>13</v>
      </c>
      <c r="F13" s="4" t="s">
        <v>67</v>
      </c>
      <c r="G13" s="4" t="s">
        <v>27</v>
      </c>
      <c r="H13" s="4" t="s">
        <v>75</v>
      </c>
      <c r="I13" s="4" t="s">
        <v>98</v>
      </c>
    </row>
    <row r="14" spans="1:9" ht="26.4">
      <c r="A14" s="4" t="s">
        <v>99</v>
      </c>
      <c r="B14" s="4" t="s">
        <v>218</v>
      </c>
      <c r="C14" s="4" t="s">
        <v>101</v>
      </c>
      <c r="D14" s="4" t="s">
        <v>66</v>
      </c>
      <c r="E14" s="4">
        <v>8</v>
      </c>
      <c r="F14" s="4" t="s">
        <v>67</v>
      </c>
      <c r="G14" s="4" t="s">
        <v>27</v>
      </c>
      <c r="H14" s="4" t="s">
        <v>102</v>
      </c>
      <c r="I14" s="4" t="s">
        <v>103</v>
      </c>
    </row>
    <row r="15" spans="1:9">
      <c r="A15" s="4" t="s">
        <v>120</v>
      </c>
      <c r="B15" s="4" t="s">
        <v>121</v>
      </c>
      <c r="C15" s="4" t="s">
        <v>122</v>
      </c>
      <c r="D15" s="4" t="s">
        <v>66</v>
      </c>
      <c r="E15" s="4">
        <v>8</v>
      </c>
      <c r="F15" s="4" t="s">
        <v>68</v>
      </c>
      <c r="G15" s="4" t="s">
        <v>27</v>
      </c>
      <c r="H15" s="4" t="s">
        <v>95</v>
      </c>
      <c r="I15" s="4" t="s">
        <v>123</v>
      </c>
    </row>
    <row r="16" spans="1:9" ht="26.4">
      <c r="A16" s="4" t="s">
        <v>104</v>
      </c>
      <c r="B16" s="4" t="s">
        <v>105</v>
      </c>
      <c r="C16" s="4" t="s">
        <v>106</v>
      </c>
      <c r="D16" s="4" t="s">
        <v>66</v>
      </c>
      <c r="E16" s="4">
        <v>8</v>
      </c>
      <c r="F16" s="4" t="s">
        <v>67</v>
      </c>
      <c r="G16" s="4" t="s">
        <v>31</v>
      </c>
      <c r="H16" s="4" t="s">
        <v>107</v>
      </c>
      <c r="I16" s="4" t="s">
        <v>108</v>
      </c>
    </row>
    <row r="17" spans="1:9">
      <c r="A17" s="4" t="s">
        <v>124</v>
      </c>
      <c r="B17" s="4" t="s">
        <v>125</v>
      </c>
      <c r="C17" s="4" t="s">
        <v>126</v>
      </c>
      <c r="D17" s="4" t="s">
        <v>66</v>
      </c>
      <c r="E17" s="4">
        <v>13</v>
      </c>
      <c r="F17" s="4" t="s">
        <v>68</v>
      </c>
      <c r="G17" s="4" t="s">
        <v>31</v>
      </c>
      <c r="H17" s="4" t="s">
        <v>127</v>
      </c>
      <c r="I17" s="4" t="s">
        <v>128</v>
      </c>
    </row>
    <row r="18" spans="1:9" ht="26.4">
      <c r="A18" s="4" t="s">
        <v>129</v>
      </c>
      <c r="B18" s="4" t="s">
        <v>130</v>
      </c>
      <c r="C18" s="4" t="s">
        <v>131</v>
      </c>
      <c r="D18" s="4" t="s">
        <v>66</v>
      </c>
      <c r="E18" s="4">
        <v>13</v>
      </c>
      <c r="F18" s="4" t="s">
        <v>68</v>
      </c>
      <c r="G18" s="4" t="s">
        <v>31</v>
      </c>
      <c r="H18" s="4" t="s">
        <v>132</v>
      </c>
      <c r="I18" s="4" t="s">
        <v>133</v>
      </c>
    </row>
    <row r="19" spans="1:9">
      <c r="A19" s="4" t="s">
        <v>109</v>
      </c>
      <c r="B19" s="4" t="s">
        <v>110</v>
      </c>
      <c r="C19" s="4" t="s">
        <v>111</v>
      </c>
      <c r="D19" s="4" t="s">
        <v>112</v>
      </c>
      <c r="E19" s="4">
        <v>8</v>
      </c>
      <c r="F19" s="4" t="s">
        <v>67</v>
      </c>
      <c r="G19" s="4" t="s">
        <v>35</v>
      </c>
      <c r="H19" s="4" t="s">
        <v>113</v>
      </c>
      <c r="I19" s="4" t="s">
        <v>114</v>
      </c>
    </row>
    <row r="20" spans="1:9">
      <c r="A20" s="4" t="s">
        <v>115</v>
      </c>
      <c r="B20" s="4" t="s">
        <v>116</v>
      </c>
      <c r="C20" s="4" t="s">
        <v>117</v>
      </c>
      <c r="D20" s="4" t="s">
        <v>112</v>
      </c>
      <c r="E20" s="4">
        <v>3</v>
      </c>
      <c r="F20" s="4" t="s">
        <v>67</v>
      </c>
      <c r="G20" s="4" t="s">
        <v>35</v>
      </c>
      <c r="H20" s="4" t="s">
        <v>118</v>
      </c>
      <c r="I20" s="4" t="s">
        <v>119</v>
      </c>
    </row>
    <row r="21" spans="1:9">
      <c r="A21" s="4" t="s">
        <v>134</v>
      </c>
      <c r="B21" s="4" t="s">
        <v>135</v>
      </c>
      <c r="C21" s="4" t="s">
        <v>136</v>
      </c>
      <c r="D21" s="4" t="s">
        <v>112</v>
      </c>
      <c r="E21" s="4">
        <v>3</v>
      </c>
      <c r="F21" s="4" t="s">
        <v>68</v>
      </c>
      <c r="G21" s="4" t="s">
        <v>35</v>
      </c>
      <c r="H21" s="4" t="s">
        <v>120</v>
      </c>
      <c r="I21" s="4" t="s">
        <v>137</v>
      </c>
    </row>
    <row r="22" spans="1:9">
      <c r="A22" t="s">
        <v>153</v>
      </c>
      <c r="B22" t="s">
        <v>154</v>
      </c>
      <c r="C22" t="s">
        <v>155</v>
      </c>
      <c r="D22" t="s">
        <v>112</v>
      </c>
      <c r="E22">
        <v>2</v>
      </c>
      <c r="F22" t="s">
        <v>67</v>
      </c>
      <c r="G22" t="s">
        <v>35</v>
      </c>
      <c r="H22" t="s">
        <v>156</v>
      </c>
      <c r="I22" t="s">
        <v>157</v>
      </c>
    </row>
    <row r="23" spans="1:9" ht="26.4">
      <c r="A23" s="4" t="s">
        <v>138</v>
      </c>
      <c r="B23" s="4" t="s">
        <v>139</v>
      </c>
      <c r="C23" s="4" t="s">
        <v>140</v>
      </c>
      <c r="D23" s="4" t="s">
        <v>112</v>
      </c>
      <c r="E23" s="4">
        <v>8</v>
      </c>
      <c r="F23" s="4" t="s">
        <v>68</v>
      </c>
      <c r="G23" s="4" t="s">
        <v>141</v>
      </c>
      <c r="H23" s="4" t="s">
        <v>129</v>
      </c>
      <c r="I23" s="4" t="s">
        <v>142</v>
      </c>
    </row>
    <row r="24" spans="1:9">
      <c r="A24" s="4" t="s">
        <v>143</v>
      </c>
      <c r="B24" s="4" t="s">
        <v>144</v>
      </c>
      <c r="C24" s="4" t="s">
        <v>145</v>
      </c>
      <c r="D24" s="4" t="s">
        <v>112</v>
      </c>
      <c r="E24" s="4">
        <v>8</v>
      </c>
      <c r="F24" s="4" t="s">
        <v>68</v>
      </c>
      <c r="G24" s="4" t="s">
        <v>141</v>
      </c>
      <c r="H24" s="4" t="s">
        <v>146</v>
      </c>
      <c r="I24" s="4" t="s">
        <v>147</v>
      </c>
    </row>
    <row r="25" spans="1:9">
      <c r="A25" s="4" t="s">
        <v>148</v>
      </c>
      <c r="B25" s="4" t="s">
        <v>149</v>
      </c>
      <c r="C25" s="4" t="s">
        <v>150</v>
      </c>
      <c r="D25" s="4" t="s">
        <v>112</v>
      </c>
      <c r="E25" s="4">
        <v>4</v>
      </c>
      <c r="F25" s="4" t="s">
        <v>67</v>
      </c>
      <c r="G25" s="4" t="s">
        <v>151</v>
      </c>
      <c r="H25" s="4" t="s">
        <v>63</v>
      </c>
      <c r="I25" s="4" t="s">
        <v>152</v>
      </c>
    </row>
    <row r="26" spans="1:9">
      <c r="A26" t="s">
        <v>158</v>
      </c>
      <c r="B26" t="s">
        <v>159</v>
      </c>
      <c r="C26" t="s">
        <v>160</v>
      </c>
      <c r="D26" t="s">
        <v>112</v>
      </c>
      <c r="E26">
        <v>4</v>
      </c>
      <c r="F26" t="s">
        <v>68</v>
      </c>
      <c r="G26" t="s">
        <v>151</v>
      </c>
      <c r="H26" t="s">
        <v>161</v>
      </c>
      <c r="I26" t="s">
        <v>162</v>
      </c>
    </row>
  </sheetData>
  <sortState xmlns:xlrd2="http://schemas.microsoft.com/office/spreadsheetml/2017/richdata2" ref="A6:I26">
    <sortCondition ref="G5:G26"/>
  </sortState>
  <mergeCells count="2">
    <mergeCell ref="A2:I2"/>
    <mergeCell ref="A3:I3"/>
  </mergeCells>
  <conditionalFormatting sqref="D6:D24">
    <cfRule type="expression" dxfId="3" priority="1">
      <formula>D6="Core"</formula>
    </cfRule>
    <cfRule type="expression" dxfId="2" priority="2">
      <formula>D6="Planned"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I26"/>
  <sheetViews>
    <sheetView workbookViewId="0">
      <pane ySplit="5" topLeftCell="A6" activePane="bottomLeft" state="frozen"/>
      <selection pane="bottomLeft" activeCell="B26" sqref="B26"/>
    </sheetView>
  </sheetViews>
  <sheetFormatPr defaultRowHeight="13.8"/>
  <cols>
    <col min="1" max="1" width="10" customWidth="1"/>
    <col min="2" max="2" width="30" customWidth="1"/>
    <col min="3" max="3" width="12" customWidth="1"/>
    <col min="4" max="5" width="11" customWidth="1"/>
    <col min="6" max="6" width="17" customWidth="1"/>
    <col min="7" max="7" width="14" customWidth="1"/>
    <col min="8" max="8" width="18" customWidth="1"/>
    <col min="9" max="9" width="45" customWidth="1"/>
  </cols>
  <sheetData>
    <row r="2" spans="1:9" ht="19.2">
      <c r="A2" s="12" t="s">
        <v>163</v>
      </c>
      <c r="B2" s="13"/>
      <c r="C2" s="13"/>
      <c r="D2" s="13"/>
      <c r="E2" s="13"/>
      <c r="F2" s="13"/>
      <c r="G2" s="13"/>
      <c r="H2" s="13"/>
      <c r="I2" s="13"/>
    </row>
    <row r="3" spans="1:9">
      <c r="A3" s="14" t="s">
        <v>164</v>
      </c>
      <c r="B3" s="13"/>
      <c r="C3" s="13"/>
      <c r="D3" s="13"/>
      <c r="E3" s="13"/>
      <c r="F3" s="13"/>
      <c r="G3" s="13"/>
      <c r="H3" s="13"/>
      <c r="I3" s="13"/>
    </row>
    <row r="5" spans="1:9">
      <c r="A5" s="1" t="s">
        <v>55</v>
      </c>
      <c r="B5" s="1" t="s">
        <v>165</v>
      </c>
      <c r="C5" s="1" t="s">
        <v>58</v>
      </c>
      <c r="D5" s="1" t="s">
        <v>166</v>
      </c>
      <c r="E5" s="1" t="s">
        <v>15</v>
      </c>
      <c r="F5" s="1" t="s">
        <v>59</v>
      </c>
      <c r="G5" s="1" t="s">
        <v>167</v>
      </c>
      <c r="H5" s="1" t="s">
        <v>61</v>
      </c>
      <c r="I5" s="1" t="s">
        <v>168</v>
      </c>
    </row>
    <row r="6" spans="1:9" ht="26.4">
      <c r="A6" s="4" t="s">
        <v>63</v>
      </c>
      <c r="B6" s="4" t="s">
        <v>64</v>
      </c>
      <c r="C6" s="4" t="s">
        <v>66</v>
      </c>
      <c r="D6" s="4">
        <v>8</v>
      </c>
      <c r="E6" s="4" t="s">
        <v>19</v>
      </c>
      <c r="F6" s="4" t="s">
        <v>67</v>
      </c>
      <c r="G6" s="4" t="s">
        <v>169</v>
      </c>
      <c r="H6" s="4" t="s">
        <v>69</v>
      </c>
      <c r="I6" s="4" t="s">
        <v>70</v>
      </c>
    </row>
    <row r="7" spans="1:9">
      <c r="A7" s="4" t="s">
        <v>71</v>
      </c>
      <c r="B7" s="4" t="s">
        <v>217</v>
      </c>
      <c r="C7" s="4" t="s">
        <v>66</v>
      </c>
      <c r="D7" s="4">
        <v>5</v>
      </c>
      <c r="E7" s="4" t="s">
        <v>19</v>
      </c>
      <c r="F7" s="4" t="s">
        <v>67</v>
      </c>
      <c r="G7" s="4" t="s">
        <v>169</v>
      </c>
      <c r="H7" s="4" t="s">
        <v>63</v>
      </c>
      <c r="I7" s="4" t="s">
        <v>74</v>
      </c>
    </row>
    <row r="8" spans="1:9">
      <c r="A8" s="4" t="s">
        <v>75</v>
      </c>
      <c r="B8" s="4" t="s">
        <v>76</v>
      </c>
      <c r="C8" s="4" t="s">
        <v>66</v>
      </c>
      <c r="D8" s="4">
        <v>8</v>
      </c>
      <c r="E8" s="4" t="s">
        <v>19</v>
      </c>
      <c r="F8" s="4" t="s">
        <v>67</v>
      </c>
      <c r="G8" s="4" t="s">
        <v>169</v>
      </c>
      <c r="H8" s="4" t="s">
        <v>63</v>
      </c>
      <c r="I8" s="4" t="s">
        <v>78</v>
      </c>
    </row>
    <row r="9" spans="1:9">
      <c r="A9" s="4" t="s">
        <v>79</v>
      </c>
      <c r="B9" s="4" t="s">
        <v>80</v>
      </c>
      <c r="C9" s="4" t="s">
        <v>66</v>
      </c>
      <c r="D9" s="4">
        <v>5</v>
      </c>
      <c r="E9" s="4" t="s">
        <v>23</v>
      </c>
      <c r="F9" s="4" t="s">
        <v>67</v>
      </c>
      <c r="G9" s="4" t="s">
        <v>169</v>
      </c>
      <c r="H9" s="4" t="s">
        <v>63</v>
      </c>
      <c r="I9" s="4" t="s">
        <v>82</v>
      </c>
    </row>
    <row r="10" spans="1:9">
      <c r="A10" s="4" t="s">
        <v>83</v>
      </c>
      <c r="B10" s="4" t="s">
        <v>84</v>
      </c>
      <c r="C10" s="4" t="s">
        <v>66</v>
      </c>
      <c r="D10" s="4">
        <v>13</v>
      </c>
      <c r="E10" s="4" t="s">
        <v>23</v>
      </c>
      <c r="F10" s="4" t="s">
        <v>68</v>
      </c>
      <c r="G10" s="4" t="s">
        <v>169</v>
      </c>
      <c r="H10" s="4" t="s">
        <v>79</v>
      </c>
      <c r="I10" s="4" t="s">
        <v>86</v>
      </c>
    </row>
    <row r="11" spans="1:9" ht="26.4">
      <c r="A11" s="4" t="s">
        <v>87</v>
      </c>
      <c r="B11" s="4" t="s">
        <v>88</v>
      </c>
      <c r="C11" s="4" t="s">
        <v>66</v>
      </c>
      <c r="D11" s="4">
        <v>8</v>
      </c>
      <c r="E11" s="4" t="s">
        <v>23</v>
      </c>
      <c r="F11" s="4" t="s">
        <v>68</v>
      </c>
      <c r="G11" s="4" t="s">
        <v>169</v>
      </c>
      <c r="H11" s="4" t="s">
        <v>63</v>
      </c>
      <c r="I11" s="4" t="s">
        <v>90</v>
      </c>
    </row>
    <row r="12" spans="1:9" ht="26.4">
      <c r="A12" s="4" t="s">
        <v>91</v>
      </c>
      <c r="B12" s="4" t="s">
        <v>92</v>
      </c>
      <c r="C12" s="4" t="s">
        <v>66</v>
      </c>
      <c r="D12" s="4">
        <v>5</v>
      </c>
      <c r="E12" s="4" t="s">
        <v>23</v>
      </c>
      <c r="F12" s="4" t="s">
        <v>68</v>
      </c>
      <c r="G12" s="4" t="s">
        <v>169</v>
      </c>
      <c r="H12" s="4" t="s">
        <v>63</v>
      </c>
      <c r="I12" s="4" t="s">
        <v>94</v>
      </c>
    </row>
    <row r="13" spans="1:9">
      <c r="A13" s="4" t="s">
        <v>95</v>
      </c>
      <c r="B13" s="4" t="s">
        <v>96</v>
      </c>
      <c r="C13" s="4" t="s">
        <v>66</v>
      </c>
      <c r="D13" s="4">
        <v>13</v>
      </c>
      <c r="E13" s="4" t="s">
        <v>27</v>
      </c>
      <c r="F13" s="4" t="s">
        <v>67</v>
      </c>
      <c r="G13" s="4" t="s">
        <v>169</v>
      </c>
      <c r="H13" s="4" t="s">
        <v>75</v>
      </c>
      <c r="I13" s="4" t="s">
        <v>98</v>
      </c>
    </row>
    <row r="14" spans="1:9">
      <c r="A14" s="4" t="s">
        <v>99</v>
      </c>
      <c r="B14" s="4" t="s">
        <v>100</v>
      </c>
      <c r="C14" s="4" t="s">
        <v>66</v>
      </c>
      <c r="D14" s="4">
        <v>8</v>
      </c>
      <c r="E14" s="4" t="s">
        <v>27</v>
      </c>
      <c r="F14" s="4" t="s">
        <v>67</v>
      </c>
      <c r="G14" s="4" t="s">
        <v>169</v>
      </c>
      <c r="H14" s="4" t="s">
        <v>102</v>
      </c>
      <c r="I14" s="4" t="s">
        <v>103</v>
      </c>
    </row>
    <row r="15" spans="1:9">
      <c r="A15" s="4" t="s">
        <v>104</v>
      </c>
      <c r="B15" s="4" t="s">
        <v>105</v>
      </c>
      <c r="C15" s="4" t="s">
        <v>66</v>
      </c>
      <c r="D15" s="4">
        <v>8</v>
      </c>
      <c r="E15" s="4" t="s">
        <v>31</v>
      </c>
      <c r="F15" s="4" t="s">
        <v>67</v>
      </c>
      <c r="G15" s="4" t="s">
        <v>169</v>
      </c>
      <c r="H15" s="4" t="s">
        <v>107</v>
      </c>
      <c r="I15" s="4" t="s">
        <v>108</v>
      </c>
    </row>
    <row r="16" spans="1:9">
      <c r="A16" s="4" t="s">
        <v>109</v>
      </c>
      <c r="B16" s="4" t="s">
        <v>110</v>
      </c>
      <c r="C16" s="4" t="s">
        <v>112</v>
      </c>
      <c r="D16" s="4">
        <v>8</v>
      </c>
      <c r="E16" s="4" t="s">
        <v>35</v>
      </c>
      <c r="F16" s="4" t="s">
        <v>67</v>
      </c>
      <c r="G16" s="4" t="s">
        <v>169</v>
      </c>
      <c r="H16" s="4" t="s">
        <v>113</v>
      </c>
      <c r="I16" s="4" t="s">
        <v>114</v>
      </c>
    </row>
    <row r="17" spans="1:9">
      <c r="A17" s="4" t="s">
        <v>115</v>
      </c>
      <c r="B17" s="4" t="s">
        <v>116</v>
      </c>
      <c r="C17" s="4" t="s">
        <v>112</v>
      </c>
      <c r="D17" s="4">
        <v>3</v>
      </c>
      <c r="E17" s="4" t="s">
        <v>35</v>
      </c>
      <c r="F17" s="4" t="s">
        <v>67</v>
      </c>
      <c r="G17" s="4" t="s">
        <v>169</v>
      </c>
      <c r="H17" s="4" t="s">
        <v>118</v>
      </c>
      <c r="I17" s="4" t="s">
        <v>119</v>
      </c>
    </row>
    <row r="18" spans="1:9">
      <c r="A18" s="4" t="s">
        <v>120</v>
      </c>
      <c r="B18" s="4" t="s">
        <v>121</v>
      </c>
      <c r="C18" s="4" t="s">
        <v>66</v>
      </c>
      <c r="D18" s="4">
        <v>8</v>
      </c>
      <c r="E18" s="4" t="s">
        <v>27</v>
      </c>
      <c r="F18" s="4" t="s">
        <v>68</v>
      </c>
      <c r="G18" s="4" t="s">
        <v>169</v>
      </c>
      <c r="H18" s="4" t="s">
        <v>95</v>
      </c>
      <c r="I18" s="4" t="s">
        <v>123</v>
      </c>
    </row>
    <row r="19" spans="1:9">
      <c r="A19" s="4" t="s">
        <v>124</v>
      </c>
      <c r="B19" s="4" t="s">
        <v>125</v>
      </c>
      <c r="C19" s="4" t="s">
        <v>66</v>
      </c>
      <c r="D19" s="4">
        <v>13</v>
      </c>
      <c r="E19" s="4" t="s">
        <v>31</v>
      </c>
      <c r="F19" s="4" t="s">
        <v>68</v>
      </c>
      <c r="G19" s="4" t="s">
        <v>169</v>
      </c>
      <c r="H19" s="4" t="s">
        <v>127</v>
      </c>
      <c r="I19" s="4" t="s">
        <v>128</v>
      </c>
    </row>
    <row r="20" spans="1:9" ht="26.4">
      <c r="A20" s="4" t="s">
        <v>129</v>
      </c>
      <c r="B20" s="4" t="s">
        <v>130</v>
      </c>
      <c r="C20" s="4" t="s">
        <v>66</v>
      </c>
      <c r="D20" s="4">
        <v>13</v>
      </c>
      <c r="E20" s="4" t="s">
        <v>31</v>
      </c>
      <c r="F20" s="4" t="s">
        <v>68</v>
      </c>
      <c r="G20" s="4" t="s">
        <v>169</v>
      </c>
      <c r="H20" s="4" t="s">
        <v>132</v>
      </c>
      <c r="I20" s="4" t="s">
        <v>133</v>
      </c>
    </row>
    <row r="21" spans="1:9">
      <c r="A21" s="4" t="s">
        <v>134</v>
      </c>
      <c r="B21" s="4" t="s">
        <v>135</v>
      </c>
      <c r="C21" s="4" t="s">
        <v>112</v>
      </c>
      <c r="D21" s="4">
        <v>3</v>
      </c>
      <c r="E21" s="4" t="s">
        <v>35</v>
      </c>
      <c r="F21" s="4" t="s">
        <v>68</v>
      </c>
      <c r="G21" s="4" t="s">
        <v>169</v>
      </c>
      <c r="H21" s="4" t="s">
        <v>120</v>
      </c>
      <c r="I21" s="4" t="s">
        <v>137</v>
      </c>
    </row>
    <row r="22" spans="1:9">
      <c r="A22" s="4" t="s">
        <v>138</v>
      </c>
      <c r="B22" s="4" t="s">
        <v>139</v>
      </c>
      <c r="C22" s="4" t="s">
        <v>112</v>
      </c>
      <c r="D22" s="4">
        <v>8</v>
      </c>
      <c r="E22" s="4" t="s">
        <v>141</v>
      </c>
      <c r="F22" s="4" t="s">
        <v>68</v>
      </c>
      <c r="G22" s="4" t="s">
        <v>169</v>
      </c>
      <c r="H22" s="4" t="s">
        <v>129</v>
      </c>
      <c r="I22" s="4" t="s">
        <v>142</v>
      </c>
    </row>
    <row r="23" spans="1:9">
      <c r="A23" s="4" t="s">
        <v>143</v>
      </c>
      <c r="B23" s="4" t="s">
        <v>144</v>
      </c>
      <c r="C23" s="4" t="s">
        <v>112</v>
      </c>
      <c r="D23" s="4">
        <v>8</v>
      </c>
      <c r="E23" s="4" t="s">
        <v>141</v>
      </c>
      <c r="F23" s="4" t="s">
        <v>68</v>
      </c>
      <c r="G23" s="4" t="s">
        <v>169</v>
      </c>
      <c r="H23" s="4" t="s">
        <v>146</v>
      </c>
      <c r="I23" s="4" t="s">
        <v>147</v>
      </c>
    </row>
    <row r="24" spans="1:9">
      <c r="A24" s="4" t="s">
        <v>148</v>
      </c>
      <c r="B24" s="4" t="s">
        <v>149</v>
      </c>
      <c r="C24" s="4" t="s">
        <v>112</v>
      </c>
      <c r="D24" s="4">
        <v>4</v>
      </c>
      <c r="E24" s="4" t="s">
        <v>151</v>
      </c>
      <c r="F24" s="4" t="s">
        <v>67</v>
      </c>
      <c r="G24" s="4" t="s">
        <v>169</v>
      </c>
      <c r="H24" s="4" t="s">
        <v>63</v>
      </c>
      <c r="I24" s="4" t="s">
        <v>152</v>
      </c>
    </row>
    <row r="25" spans="1:9">
      <c r="A25" t="s">
        <v>153</v>
      </c>
      <c r="B25" t="s">
        <v>154</v>
      </c>
      <c r="C25" t="s">
        <v>112</v>
      </c>
      <c r="D25">
        <v>2</v>
      </c>
      <c r="E25" t="s">
        <v>35</v>
      </c>
      <c r="F25" t="s">
        <v>67</v>
      </c>
      <c r="G25" t="s">
        <v>169</v>
      </c>
      <c r="H25" t="s">
        <v>156</v>
      </c>
      <c r="I25" t="s">
        <v>157</v>
      </c>
    </row>
    <row r="26" spans="1:9">
      <c r="A26" t="s">
        <v>158</v>
      </c>
      <c r="B26" t="s">
        <v>159</v>
      </c>
      <c r="C26" t="s">
        <v>112</v>
      </c>
      <c r="D26">
        <v>4</v>
      </c>
      <c r="E26" t="s">
        <v>151</v>
      </c>
      <c r="F26" t="s">
        <v>68</v>
      </c>
      <c r="G26" t="s">
        <v>169</v>
      </c>
      <c r="H26" t="s">
        <v>161</v>
      </c>
      <c r="I26" t="s">
        <v>162</v>
      </c>
    </row>
  </sheetData>
  <mergeCells count="2">
    <mergeCell ref="A2:I2"/>
    <mergeCell ref="A3:I3"/>
  </mergeCells>
  <conditionalFormatting sqref="C6:C24">
    <cfRule type="expression" dxfId="1" priority="1">
      <formula>C6="Core"</formula>
    </cfRule>
    <cfRule type="expression" dxfId="0" priority="2">
      <formula>C6="Planned"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H18"/>
  <sheetViews>
    <sheetView workbookViewId="0"/>
  </sheetViews>
  <sheetFormatPr defaultRowHeight="13.8"/>
  <cols>
    <col min="1" max="1" width="20" customWidth="1"/>
    <col min="2" max="2" width="28" customWidth="1"/>
    <col min="3" max="4" width="13" customWidth="1"/>
    <col min="5" max="5" width="38" customWidth="1"/>
    <col min="6" max="6" width="32" customWidth="1"/>
  </cols>
  <sheetData>
    <row r="2" spans="1:8" ht="19.2">
      <c r="A2" s="12" t="s">
        <v>170</v>
      </c>
      <c r="B2" s="13"/>
      <c r="C2" s="13"/>
      <c r="D2" s="13"/>
      <c r="E2" s="13"/>
      <c r="F2" s="13"/>
      <c r="G2" s="13"/>
      <c r="H2" s="13"/>
    </row>
    <row r="3" spans="1:8">
      <c r="A3" s="14" t="s">
        <v>171</v>
      </c>
      <c r="B3" s="13"/>
      <c r="C3" s="13"/>
      <c r="D3" s="13"/>
      <c r="E3" s="13"/>
      <c r="F3" s="13"/>
      <c r="G3" s="13"/>
      <c r="H3" s="13"/>
    </row>
    <row r="5" spans="1:8">
      <c r="A5" s="1" t="s">
        <v>4</v>
      </c>
      <c r="B5" s="1" t="s">
        <v>172</v>
      </c>
      <c r="C5" s="1" t="s">
        <v>6</v>
      </c>
      <c r="D5" s="1" t="s">
        <v>7</v>
      </c>
      <c r="E5" s="1" t="s">
        <v>8</v>
      </c>
      <c r="F5" s="1" t="s">
        <v>51</v>
      </c>
    </row>
    <row r="6" spans="1:8" ht="26.4">
      <c r="A6" s="4" t="s">
        <v>67</v>
      </c>
      <c r="B6" s="4" t="s">
        <v>173</v>
      </c>
      <c r="C6" s="4">
        <f>SUMIF('Chức năng BE'!$F$6:$F$26,A6,'Chức năng BE'!$E$6:$E$26)</f>
        <v>72</v>
      </c>
      <c r="D6" s="5">
        <f>C6/SUM($C$6:$C$7)</f>
        <v>0.46451612903225808</v>
      </c>
      <c r="E6" s="4" t="s">
        <v>174</v>
      </c>
      <c r="F6" s="4" t="s">
        <v>175</v>
      </c>
    </row>
    <row r="7" spans="1:8" ht="26.4">
      <c r="A7" s="4" t="s">
        <v>68</v>
      </c>
      <c r="B7" s="4" t="s">
        <v>175</v>
      </c>
      <c r="C7" s="4">
        <f>SUMIF('Chức năng BE'!$F$6:$F$26,A7,'Chức năng BE'!$E$6:$E$26)</f>
        <v>83</v>
      </c>
      <c r="D7" s="5">
        <f>C7/SUM($C$6:$C$7)</f>
        <v>0.53548387096774197</v>
      </c>
      <c r="E7" s="4" t="s">
        <v>176</v>
      </c>
      <c r="F7" s="4" t="s">
        <v>177</v>
      </c>
    </row>
    <row r="8" spans="1:8">
      <c r="A8" s="4"/>
      <c r="B8" s="4"/>
      <c r="C8" s="4"/>
      <c r="D8" s="5"/>
      <c r="E8" s="4"/>
      <c r="F8" s="4"/>
    </row>
    <row r="9" spans="1:8">
      <c r="A9" s="4"/>
      <c r="B9" s="4"/>
      <c r="C9" s="4"/>
      <c r="D9" s="5"/>
      <c r="E9" s="4"/>
      <c r="F9" s="4"/>
    </row>
    <row r="12" spans="1:8">
      <c r="A12" s="10" t="s">
        <v>43</v>
      </c>
      <c r="B12" s="9" t="s">
        <v>44</v>
      </c>
      <c r="C12" s="9"/>
      <c r="D12" s="9"/>
      <c r="E12" s="9"/>
      <c r="F12" s="9"/>
      <c r="G12" s="4"/>
      <c r="H12" s="4"/>
    </row>
    <row r="13" spans="1:8">
      <c r="A13" s="11" t="s">
        <v>59</v>
      </c>
      <c r="B13" s="16" t="s">
        <v>178</v>
      </c>
      <c r="C13" s="16"/>
      <c r="D13" s="16"/>
      <c r="E13" s="16"/>
      <c r="F13" s="16"/>
      <c r="G13" s="4"/>
      <c r="H13" s="4"/>
    </row>
    <row r="14" spans="1:8">
      <c r="A14" s="11" t="s">
        <v>60</v>
      </c>
      <c r="B14" s="16" t="s">
        <v>179</v>
      </c>
      <c r="C14" s="16"/>
      <c r="D14" s="16"/>
      <c r="E14" s="16"/>
      <c r="F14" s="16"/>
      <c r="G14" s="4"/>
      <c r="H14" s="4"/>
    </row>
    <row r="15" spans="1:8">
      <c r="A15" s="11" t="s">
        <v>180</v>
      </c>
      <c r="B15" s="16" t="s">
        <v>181</v>
      </c>
      <c r="C15" s="16"/>
      <c r="D15" s="16"/>
      <c r="E15" s="16"/>
      <c r="F15" s="16"/>
      <c r="G15" s="4"/>
      <c r="H15" s="4"/>
    </row>
    <row r="16" spans="1:8">
      <c r="A16" s="11" t="s">
        <v>182</v>
      </c>
      <c r="B16" s="16" t="s">
        <v>183</v>
      </c>
      <c r="C16" s="16"/>
      <c r="D16" s="16"/>
      <c r="E16" s="16"/>
      <c r="F16" s="16"/>
      <c r="G16" s="4"/>
      <c r="H16" s="4"/>
    </row>
    <row r="17" spans="1:8">
      <c r="A17" s="11" t="s">
        <v>184</v>
      </c>
      <c r="B17" s="16" t="s">
        <v>185</v>
      </c>
      <c r="C17" s="16"/>
      <c r="D17" s="16"/>
      <c r="E17" s="16"/>
      <c r="F17" s="16"/>
      <c r="G17" s="4"/>
      <c r="H17" s="4"/>
    </row>
    <row r="18" spans="1:8">
      <c r="A18" s="11" t="s">
        <v>186</v>
      </c>
      <c r="B18" s="16" t="s">
        <v>187</v>
      </c>
      <c r="C18" s="16"/>
      <c r="D18" s="16"/>
      <c r="E18" s="16"/>
      <c r="F18" s="16"/>
      <c r="G18" s="4"/>
      <c r="H18" s="4"/>
    </row>
  </sheetData>
  <mergeCells count="8">
    <mergeCell ref="B16:F16"/>
    <mergeCell ref="B17:F17"/>
    <mergeCell ref="B18:F18"/>
    <mergeCell ref="A2:H2"/>
    <mergeCell ref="A3:H3"/>
    <mergeCell ref="B13:F13"/>
    <mergeCell ref="B14:F14"/>
    <mergeCell ref="B15:F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31"/>
  <sheetViews>
    <sheetView topLeftCell="A11" workbookViewId="0"/>
  </sheetViews>
  <sheetFormatPr defaultRowHeight="13.8"/>
  <cols>
    <col min="1" max="1" width="10" customWidth="1"/>
    <col min="2" max="2" width="32" customWidth="1"/>
    <col min="3" max="5" width="12" customWidth="1"/>
    <col min="6" max="7" width="15" customWidth="1"/>
    <col min="8" max="8" width="45" customWidth="1"/>
  </cols>
  <sheetData>
    <row r="2" spans="1:8" ht="19.2">
      <c r="A2" s="12" t="s">
        <v>188</v>
      </c>
      <c r="B2" s="13"/>
      <c r="C2" s="13"/>
      <c r="D2" s="13"/>
      <c r="E2" s="13"/>
      <c r="F2" s="13"/>
      <c r="G2" s="13"/>
      <c r="H2" s="13"/>
    </row>
    <row r="3" spans="1:8">
      <c r="A3" s="14" t="s">
        <v>189</v>
      </c>
      <c r="B3" s="13"/>
      <c r="C3" s="13"/>
      <c r="D3" s="13"/>
      <c r="E3" s="13"/>
      <c r="F3" s="13"/>
      <c r="G3" s="13"/>
      <c r="H3" s="13"/>
    </row>
    <row r="5" spans="1:8">
      <c r="A5" s="1" t="s">
        <v>55</v>
      </c>
      <c r="B5" s="1" t="s">
        <v>56</v>
      </c>
      <c r="C5" s="1" t="s">
        <v>190</v>
      </c>
      <c r="D5" s="1" t="s">
        <v>191</v>
      </c>
      <c r="E5" s="1" t="s">
        <v>192</v>
      </c>
      <c r="F5" s="1" t="s">
        <v>6</v>
      </c>
      <c r="G5" s="1" t="s">
        <v>59</v>
      </c>
      <c r="H5" s="1" t="s">
        <v>193</v>
      </c>
    </row>
    <row r="6" spans="1:8" ht="26.4">
      <c r="A6" s="4" t="s">
        <v>63</v>
      </c>
      <c r="B6" s="4" t="s">
        <v>64</v>
      </c>
      <c r="C6" s="4" t="s">
        <v>69</v>
      </c>
      <c r="D6" s="4" t="s">
        <v>69</v>
      </c>
      <c r="E6" s="4" t="s">
        <v>69</v>
      </c>
      <c r="F6" s="4">
        <v>8</v>
      </c>
      <c r="G6" s="4" t="s">
        <v>67</v>
      </c>
      <c r="H6" s="4" t="s">
        <v>65</v>
      </c>
    </row>
    <row r="7" spans="1:8">
      <c r="A7" s="4" t="s">
        <v>71</v>
      </c>
      <c r="B7" s="4" t="s">
        <v>72</v>
      </c>
      <c r="C7" s="4" t="s">
        <v>69</v>
      </c>
      <c r="D7" s="4" t="s">
        <v>69</v>
      </c>
      <c r="E7" s="4" t="s">
        <v>69</v>
      </c>
      <c r="F7" s="4">
        <v>5</v>
      </c>
      <c r="G7" s="4" t="s">
        <v>67</v>
      </c>
      <c r="H7" s="4" t="s">
        <v>73</v>
      </c>
    </row>
    <row r="8" spans="1:8">
      <c r="A8" s="4" t="s">
        <v>75</v>
      </c>
      <c r="B8" s="4" t="s">
        <v>76</v>
      </c>
      <c r="C8" s="4" t="s">
        <v>69</v>
      </c>
      <c r="D8" s="4" t="s">
        <v>69</v>
      </c>
      <c r="E8" s="4" t="s">
        <v>69</v>
      </c>
      <c r="F8" s="4">
        <v>8</v>
      </c>
      <c r="G8" s="4" t="s">
        <v>67</v>
      </c>
      <c r="H8" s="4" t="s">
        <v>77</v>
      </c>
    </row>
    <row r="9" spans="1:8" ht="26.4">
      <c r="A9" s="4" t="s">
        <v>79</v>
      </c>
      <c r="B9" s="4" t="s">
        <v>80</v>
      </c>
      <c r="C9" s="4" t="s">
        <v>69</v>
      </c>
      <c r="D9" s="4" t="s">
        <v>69</v>
      </c>
      <c r="E9" s="4" t="s">
        <v>69</v>
      </c>
      <c r="F9" s="4">
        <v>5</v>
      </c>
      <c r="G9" s="4" t="s">
        <v>67</v>
      </c>
      <c r="H9" s="4" t="s">
        <v>81</v>
      </c>
    </row>
    <row r="10" spans="1:8" ht="26.4">
      <c r="A10" s="4" t="s">
        <v>83</v>
      </c>
      <c r="B10" s="4" t="s">
        <v>84</v>
      </c>
      <c r="C10" s="4" t="s">
        <v>69</v>
      </c>
      <c r="D10" s="4" t="s">
        <v>69</v>
      </c>
      <c r="E10" s="4" t="s">
        <v>69</v>
      </c>
      <c r="F10" s="4">
        <v>13</v>
      </c>
      <c r="G10" s="4" t="s">
        <v>68</v>
      </c>
      <c r="H10" s="4" t="s">
        <v>85</v>
      </c>
    </row>
    <row r="11" spans="1:8" ht="26.4">
      <c r="A11" s="4" t="s">
        <v>87</v>
      </c>
      <c r="B11" s="4" t="s">
        <v>88</v>
      </c>
      <c r="C11" s="4" t="s">
        <v>69</v>
      </c>
      <c r="D11" s="4" t="s">
        <v>69</v>
      </c>
      <c r="E11" s="4" t="s">
        <v>69</v>
      </c>
      <c r="F11" s="4">
        <v>8</v>
      </c>
      <c r="G11" s="4" t="s">
        <v>68</v>
      </c>
      <c r="H11" s="4" t="s">
        <v>89</v>
      </c>
    </row>
    <row r="12" spans="1:8">
      <c r="A12" s="4" t="s">
        <v>91</v>
      </c>
      <c r="B12" s="4" t="s">
        <v>92</v>
      </c>
      <c r="C12" s="4" t="s">
        <v>69</v>
      </c>
      <c r="D12" s="4" t="s">
        <v>69</v>
      </c>
      <c r="E12" s="4" t="s">
        <v>69</v>
      </c>
      <c r="F12" s="4">
        <v>5</v>
      </c>
      <c r="G12" s="4" t="s">
        <v>68</v>
      </c>
      <c r="H12" s="4" t="s">
        <v>93</v>
      </c>
    </row>
    <row r="13" spans="1:8" ht="26.4">
      <c r="A13" s="4" t="s">
        <v>95</v>
      </c>
      <c r="B13" s="4" t="s">
        <v>96</v>
      </c>
      <c r="C13" s="4" t="s">
        <v>69</v>
      </c>
      <c r="D13" s="4" t="s">
        <v>69</v>
      </c>
      <c r="E13" s="4" t="s">
        <v>69</v>
      </c>
      <c r="F13" s="4">
        <v>13</v>
      </c>
      <c r="G13" s="4" t="s">
        <v>67</v>
      </c>
      <c r="H13" s="4" t="s">
        <v>97</v>
      </c>
    </row>
    <row r="14" spans="1:8" ht="26.4">
      <c r="A14" s="4" t="s">
        <v>99</v>
      </c>
      <c r="B14" s="4" t="s">
        <v>100</v>
      </c>
      <c r="C14" s="4" t="s">
        <v>69</v>
      </c>
      <c r="D14" s="4" t="s">
        <v>69</v>
      </c>
      <c r="E14" s="4" t="s">
        <v>69</v>
      </c>
      <c r="F14" s="4">
        <v>8</v>
      </c>
      <c r="G14" s="4" t="s">
        <v>67</v>
      </c>
      <c r="H14" s="4" t="s">
        <v>101</v>
      </c>
    </row>
    <row r="15" spans="1:8" ht="26.4">
      <c r="A15" s="4" t="s">
        <v>104</v>
      </c>
      <c r="B15" s="4" t="s">
        <v>105</v>
      </c>
      <c r="C15" s="4" t="s">
        <v>69</v>
      </c>
      <c r="D15" s="4" t="s">
        <v>69</v>
      </c>
      <c r="E15" s="4" t="s">
        <v>69</v>
      </c>
      <c r="F15" s="4">
        <v>8</v>
      </c>
      <c r="G15" s="4" t="s">
        <v>67</v>
      </c>
      <c r="H15" s="4" t="s">
        <v>106</v>
      </c>
    </row>
    <row r="16" spans="1:8">
      <c r="A16" s="4" t="s">
        <v>109</v>
      </c>
      <c r="B16" s="4" t="s">
        <v>110</v>
      </c>
      <c r="C16" s="4" t="s">
        <v>69</v>
      </c>
      <c r="D16" s="4" t="s">
        <v>69</v>
      </c>
      <c r="E16" s="4" t="s">
        <v>69</v>
      </c>
      <c r="F16" s="4">
        <v>8</v>
      </c>
      <c r="G16" s="4" t="s">
        <v>67</v>
      </c>
      <c r="H16" s="4" t="s">
        <v>111</v>
      </c>
    </row>
    <row r="17" spans="1:8">
      <c r="A17" s="4" t="s">
        <v>115</v>
      </c>
      <c r="B17" s="4" t="s">
        <v>116</v>
      </c>
      <c r="C17" s="4" t="s">
        <v>69</v>
      </c>
      <c r="D17" s="4" t="s">
        <v>69</v>
      </c>
      <c r="E17" s="4" t="s">
        <v>69</v>
      </c>
      <c r="F17" s="4">
        <v>3</v>
      </c>
      <c r="G17" s="4" t="s">
        <v>67</v>
      </c>
      <c r="H17" s="4" t="s">
        <v>117</v>
      </c>
    </row>
    <row r="18" spans="1:8">
      <c r="A18" s="4" t="s">
        <v>120</v>
      </c>
      <c r="B18" s="4" t="s">
        <v>121</v>
      </c>
      <c r="C18" s="4" t="s">
        <v>69</v>
      </c>
      <c r="D18" s="4" t="s">
        <v>69</v>
      </c>
      <c r="E18" s="4" t="s">
        <v>69</v>
      </c>
      <c r="F18" s="4">
        <v>8</v>
      </c>
      <c r="G18" s="4" t="s">
        <v>68</v>
      </c>
      <c r="H18" s="4" t="s">
        <v>122</v>
      </c>
    </row>
    <row r="19" spans="1:8">
      <c r="A19" s="4" t="s">
        <v>124</v>
      </c>
      <c r="B19" s="4" t="s">
        <v>125</v>
      </c>
      <c r="C19" s="4" t="s">
        <v>69</v>
      </c>
      <c r="D19" s="4" t="s">
        <v>69</v>
      </c>
      <c r="E19" s="4" t="s">
        <v>69</v>
      </c>
      <c r="F19" s="4">
        <v>13</v>
      </c>
      <c r="G19" s="4" t="s">
        <v>68</v>
      </c>
      <c r="H19" s="4" t="s">
        <v>126</v>
      </c>
    </row>
    <row r="20" spans="1:8" ht="26.4">
      <c r="A20" s="4" t="s">
        <v>129</v>
      </c>
      <c r="B20" s="4" t="s">
        <v>130</v>
      </c>
      <c r="C20" s="4" t="s">
        <v>69</v>
      </c>
      <c r="D20" s="4" t="s">
        <v>69</v>
      </c>
      <c r="E20" s="4" t="s">
        <v>69</v>
      </c>
      <c r="F20" s="4">
        <v>13</v>
      </c>
      <c r="G20" s="4" t="s">
        <v>68</v>
      </c>
      <c r="H20" s="4" t="s">
        <v>131</v>
      </c>
    </row>
    <row r="21" spans="1:8">
      <c r="A21" s="4" t="s">
        <v>134</v>
      </c>
      <c r="B21" s="4" t="s">
        <v>135</v>
      </c>
      <c r="C21" s="4" t="s">
        <v>69</v>
      </c>
      <c r="D21" s="4" t="s">
        <v>69</v>
      </c>
      <c r="E21" s="4" t="s">
        <v>69</v>
      </c>
      <c r="F21" s="4">
        <v>3</v>
      </c>
      <c r="G21" s="4" t="s">
        <v>68</v>
      </c>
      <c r="H21" s="4" t="s">
        <v>136</v>
      </c>
    </row>
    <row r="22" spans="1:8" ht="26.4">
      <c r="A22" s="4" t="s">
        <v>138</v>
      </c>
      <c r="B22" s="4" t="s">
        <v>139</v>
      </c>
      <c r="C22" s="4" t="s">
        <v>69</v>
      </c>
      <c r="D22" s="4" t="s">
        <v>69</v>
      </c>
      <c r="E22" s="4" t="s">
        <v>69</v>
      </c>
      <c r="F22" s="4">
        <v>8</v>
      </c>
      <c r="G22" s="4" t="s">
        <v>68</v>
      </c>
      <c r="H22" s="4" t="s">
        <v>140</v>
      </c>
    </row>
    <row r="23" spans="1:8">
      <c r="A23" s="4" t="s">
        <v>143</v>
      </c>
      <c r="B23" s="4" t="s">
        <v>144</v>
      </c>
      <c r="C23" s="4" t="s">
        <v>69</v>
      </c>
      <c r="D23" s="4" t="s">
        <v>69</v>
      </c>
      <c r="E23" s="4" t="s">
        <v>69</v>
      </c>
      <c r="F23" s="4">
        <v>8</v>
      </c>
      <c r="G23" s="4" t="s">
        <v>68</v>
      </c>
      <c r="H23" s="4" t="s">
        <v>145</v>
      </c>
    </row>
    <row r="24" spans="1:8">
      <c r="A24" s="4" t="s">
        <v>148</v>
      </c>
      <c r="B24" s="4" t="s">
        <v>149</v>
      </c>
      <c r="C24" s="4" t="s">
        <v>69</v>
      </c>
      <c r="D24" s="4" t="s">
        <v>69</v>
      </c>
      <c r="E24" s="4" t="s">
        <v>69</v>
      </c>
      <c r="F24" s="4">
        <v>4</v>
      </c>
      <c r="G24" s="4" t="s">
        <v>67</v>
      </c>
      <c r="H24" s="4" t="s">
        <v>150</v>
      </c>
    </row>
    <row r="25" spans="1:8">
      <c r="A25" t="s">
        <v>153</v>
      </c>
      <c r="B25" t="s">
        <v>154</v>
      </c>
      <c r="C25" t="s">
        <v>69</v>
      </c>
      <c r="D25" t="s">
        <v>69</v>
      </c>
      <c r="E25" t="s">
        <v>69</v>
      </c>
      <c r="F25">
        <v>2</v>
      </c>
      <c r="G25" t="s">
        <v>67</v>
      </c>
      <c r="H25" t="s">
        <v>155</v>
      </c>
    </row>
    <row r="26" spans="1:8">
      <c r="A26" s="6" t="s">
        <v>158</v>
      </c>
      <c r="B26" s="4" t="s">
        <v>159</v>
      </c>
      <c r="C26" s="4" t="s">
        <v>69</v>
      </c>
      <c r="D26" s="4" t="s">
        <v>69</v>
      </c>
      <c r="E26" s="4" t="s">
        <v>69</v>
      </c>
      <c r="F26" s="4">
        <v>4</v>
      </c>
      <c r="G26" s="4" t="s">
        <v>68</v>
      </c>
      <c r="H26" s="4" t="s">
        <v>160</v>
      </c>
    </row>
    <row r="27" spans="1:8">
      <c r="A27" s="6"/>
      <c r="B27" s="4"/>
      <c r="C27" s="4"/>
      <c r="D27" s="4"/>
      <c r="E27" s="4"/>
      <c r="F27" s="4"/>
      <c r="G27" s="4"/>
      <c r="H27" s="4"/>
    </row>
    <row r="28" spans="1:8">
      <c r="A28" s="7" t="s">
        <v>194</v>
      </c>
      <c r="B28" s="4">
        <f>SUM(F6:F26)</f>
        <v>155</v>
      </c>
      <c r="C28" s="4"/>
      <c r="D28" s="4"/>
      <c r="E28" s="4"/>
      <c r="F28" s="4"/>
      <c r="G28" s="4"/>
      <c r="H28" s="4"/>
    </row>
    <row r="29" spans="1:8">
      <c r="A29" s="7" t="s">
        <v>12</v>
      </c>
      <c r="B29" s="15">
        <f>SUMIF('Chức năng BE'!D6:D26,"Core",'Chức năng BE'!E6:E26)</f>
        <v>115</v>
      </c>
      <c r="C29" s="15"/>
      <c r="D29" s="15"/>
      <c r="E29" s="15"/>
      <c r="F29" s="15"/>
      <c r="G29" s="15"/>
      <c r="H29" s="15"/>
    </row>
    <row r="30" spans="1:8">
      <c r="A30" s="7" t="s">
        <v>13</v>
      </c>
      <c r="B30" s="8">
        <f>SUMIF('Chức năng BE'!D6:D26,"Planned",'Chức năng BE'!E6:E26)</f>
        <v>40</v>
      </c>
      <c r="C30" s="8"/>
      <c r="D30" s="8"/>
      <c r="E30" s="8"/>
      <c r="F30" s="8"/>
      <c r="G30" s="8"/>
      <c r="H30" s="8"/>
    </row>
    <row r="31" spans="1:8">
      <c r="A31" s="7" t="s">
        <v>195</v>
      </c>
      <c r="B31" s="17" t="s">
        <v>196</v>
      </c>
      <c r="C31" s="17"/>
      <c r="D31" s="17"/>
      <c r="E31" s="17"/>
      <c r="F31" s="17"/>
      <c r="G31" s="17"/>
      <c r="H31" s="17"/>
    </row>
  </sheetData>
  <mergeCells count="4">
    <mergeCell ref="A2:H2"/>
    <mergeCell ref="A3:H3"/>
    <mergeCell ref="B29:H29"/>
    <mergeCell ref="B31:H3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F13"/>
  <sheetViews>
    <sheetView workbookViewId="0"/>
  </sheetViews>
  <sheetFormatPr defaultRowHeight="13.8"/>
  <cols>
    <col min="1" max="1" width="12" customWidth="1"/>
    <col min="2" max="2" width="105" customWidth="1"/>
  </cols>
  <sheetData>
    <row r="2" spans="1:6" ht="19.2">
      <c r="A2" s="12" t="s">
        <v>197</v>
      </c>
      <c r="B2" s="13"/>
      <c r="C2" s="13"/>
      <c r="D2" s="13"/>
      <c r="E2" s="13"/>
      <c r="F2" s="13"/>
    </row>
    <row r="3" spans="1:6">
      <c r="A3" s="14" t="s">
        <v>198</v>
      </c>
      <c r="B3" s="13"/>
      <c r="C3" s="13"/>
      <c r="D3" s="13"/>
      <c r="E3" s="13"/>
      <c r="F3" s="13"/>
    </row>
    <row r="5" spans="1:6">
      <c r="A5" s="1" t="s">
        <v>199</v>
      </c>
      <c r="B5" s="1" t="s">
        <v>200</v>
      </c>
    </row>
    <row r="6" spans="1:6">
      <c r="A6" s="4" t="s">
        <v>201</v>
      </c>
      <c r="B6" s="4" t="s">
        <v>202</v>
      </c>
    </row>
    <row r="7" spans="1:6">
      <c r="A7" s="4" t="s">
        <v>203</v>
      </c>
      <c r="B7" s="4" t="s">
        <v>204</v>
      </c>
    </row>
    <row r="8" spans="1:6">
      <c r="A8" s="4" t="s">
        <v>205</v>
      </c>
      <c r="B8" s="4" t="s">
        <v>206</v>
      </c>
    </row>
    <row r="9" spans="1:6">
      <c r="A9" s="4" t="s">
        <v>207</v>
      </c>
      <c r="B9" s="4" t="s">
        <v>208</v>
      </c>
    </row>
    <row r="10" spans="1:6">
      <c r="A10" s="4" t="s">
        <v>209</v>
      </c>
      <c r="B10" s="4" t="s">
        <v>210</v>
      </c>
    </row>
    <row r="11" spans="1:6">
      <c r="A11" s="4" t="s">
        <v>211</v>
      </c>
      <c r="B11" s="4" t="s">
        <v>212</v>
      </c>
    </row>
    <row r="12" spans="1:6" ht="26.4">
      <c r="A12" s="4" t="s">
        <v>213</v>
      </c>
      <c r="B12" s="4" t="s">
        <v>214</v>
      </c>
    </row>
    <row r="13" spans="1:6">
      <c r="A13" t="s">
        <v>215</v>
      </c>
      <c r="B13" t="s">
        <v>216</v>
      </c>
    </row>
  </sheetData>
  <mergeCells count="2">
    <mergeCell ref="A2:F2"/>
    <mergeCell ref="A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Tổng quan BE</vt:lpstr>
      <vt:lpstr>Chức năng BE</vt:lpstr>
      <vt:lpstr>Backlog BE</vt:lpstr>
      <vt:lpstr>Phân công BE</vt:lpstr>
      <vt:lpstr>Function Points BE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Vũ Quốc Huy</cp:lastModifiedBy>
  <dcterms:modified xsi:type="dcterms:W3CDTF">2026-10-01T15:29:50Z</dcterms:modified>
</cp:coreProperties>
</file>